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Inventario" sheetId="2" state="visible" r:id="rId4"/>
    <sheet name="Resumen" sheetId="3" state="visible" r:id="rId5"/>
    <sheet name="Catalogos" sheetId="4" state="visible" r:id="rId6"/>
  </sheets>
  <definedNames>
    <definedName function="false" hidden="true" localSheetId="1" name="_xlnm._FilterDatabase" vbProcedure="false">Inventario!$A$5:$AJ$505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<sst xmlns="http://schemas.openxmlformats.org/spreadsheetml/2006/main" count="237" uniqueCount="162">
  <si>
    <t xml:space="preserve">CÓMO USAR ESTE INVENTARIO</t>
  </si>
  <si>
    <t xml:space="preserve">Hoja Inventario</t>
  </si>
  <si>
    <t xml:space="preserve">Una fila por instancia o base de datos. Hasta 500 filas. Las filas 6 a 8 son ejemplos en gris cursiva: bórralas antes de empezar.</t>
  </si>
  <si>
    <t xml:space="preserve">Columnas grises</t>
  </si>
  <si>
    <t xml:space="preserve">'Estado del restore' y 'Soporte vigente' se calculan solas (fórmulas). No las sobrescribas.</t>
  </si>
  <si>
    <t xml:space="preserve">Listas desplegables</t>
  </si>
  <si>
    <t xml:space="preserve">Motor, ambiente, criticidad, etc. salen de la hoja Catalogos. Puedes agregar valores ahí.</t>
  </si>
  <si>
    <t xml:space="preserve">Colores</t>
  </si>
  <si>
    <t xml:space="preserve">Verde = correcto, amarillo = atención, rojo = acción requerida.</t>
  </si>
  <si>
    <t xml:space="preserve">Hoja Resumen</t>
  </si>
  <si>
    <t xml:space="preserve">Conteos por motor/ambiente, % de cumplimiento en producción y alertas. Se actualiza solo.</t>
  </si>
  <si>
    <t xml:space="preserve">Restore vigente</t>
  </si>
  <si>
    <t xml:space="preserve">Se considera OK si el último restore probado fue hace 90 días o menos. Ajusta el 90 en las fórmulas si tu política es otra.</t>
  </si>
  <si>
    <t xml:space="preserve">Soporte vigente</t>
  </si>
  <si>
    <t xml:space="preserve">'Por vencer' = menos de 180 días para el fin de soporte del fabricante. Registra la fecha oficial de cada versión.</t>
  </si>
  <si>
    <t xml:space="preserve">Suposiciones</t>
  </si>
  <si>
    <t xml:space="preserve">Umbrales de 90 y 180 días son valores sugeridos, no de normativa. Los datos de ejemplo son ficticios.</t>
  </si>
  <si>
    <t xml:space="preserve">Mantenimiento</t>
  </si>
  <si>
    <t xml:space="preserve">Revisa y actualiza el inventario cada mes y cada vez que se cree, migre o retire una base.</t>
  </si>
  <si>
    <t xml:space="preserve">INVENTARIO ÚNICO DE BASES DE DATOS</t>
  </si>
  <si>
    <t xml:space="preserve">Llena las columnas en blanco. Las columnas grises se calculan solas. Filas 6-8 = ejemplos (bórralas al empezar). Ver hoja 'Instrucciones'.</t>
  </si>
  <si>
    <t xml:space="preserve">Identificación</t>
  </si>
  <si>
    <t xml:space="preserve">Infraestructura</t>
  </si>
  <si>
    <t xml:space="preserve">Responsables</t>
  </si>
  <si>
    <t xml:space="preserve">Datos y cumplimiento</t>
  </si>
  <si>
    <t xml:space="preserve">Seguridad</t>
  </si>
  <si>
    <t xml:space="preserve">Continuidad</t>
  </si>
  <si>
    <t xml:space="preserve">Observaciones</t>
  </si>
  <si>
    <t xml:space="preserve">ID</t>
  </si>
  <si>
    <t xml:space="preserve">Nombre instancia / BD</t>
  </si>
  <si>
    <t xml:space="preserve">Motor</t>
  </si>
  <si>
    <t xml:space="preserve">Versión</t>
  </si>
  <si>
    <t xml:space="preserve">Edición / Licencia</t>
  </si>
  <si>
    <t xml:space="preserve">Ambiente</t>
  </si>
  <si>
    <t xml:space="preserve">Criticidad</t>
  </si>
  <si>
    <t xml:space="preserve">Estado</t>
  </si>
  <si>
    <t xml:space="preserve">Host / Servidor</t>
  </si>
  <si>
    <t xml:space="preserve">IP</t>
  </si>
  <si>
    <t xml:space="preserve">Puerto</t>
  </si>
  <si>
    <t xml:space="preserve">Plataforma</t>
  </si>
  <si>
    <t xml:space="preserve">Sistema operativo</t>
  </si>
  <si>
    <t xml:space="preserve">Tamaño (GB)</t>
  </si>
  <si>
    <t xml:space="preserve">Dueño de negocio</t>
  </si>
  <si>
    <t xml:space="preserve">DBA responsable</t>
  </si>
  <si>
    <t xml:space="preserve">Aplicación(es) que la usan</t>
  </si>
  <si>
    <t xml:space="preserve">Datos sensibles</t>
  </si>
  <si>
    <t xml:space="preserve">Normativa aplicable</t>
  </si>
  <si>
    <t xml:space="preserve">Auditoría activa</t>
  </si>
  <si>
    <t xml:space="preserve">Logs enviados al SIEM</t>
  </si>
  <si>
    <t xml:space="preserve">Cifrado en reposo</t>
  </si>
  <si>
    <t xml:space="preserve">TLS en tránsito</t>
  </si>
  <si>
    <t xml:space="preserve">Credenciales en vault</t>
  </si>
  <si>
    <t xml:space="preserve">Acceso por bastión/PAM</t>
  </si>
  <si>
    <t xml:space="preserve">Alta disponibilidad</t>
  </si>
  <si>
    <t xml:space="preserve">Herramienta de backup</t>
  </si>
  <si>
    <t xml:space="preserve">Frecuencia de backup</t>
  </si>
  <si>
    <t xml:space="preserve">RPO (min)</t>
  </si>
  <si>
    <t xml:space="preserve">RTO (min)</t>
  </si>
  <si>
    <t xml:space="preserve">Último restore probado</t>
  </si>
  <si>
    <t xml:space="preserve">Estado del restore (auto)</t>
  </si>
  <si>
    <t xml:space="preserve">Último parche aplicado</t>
  </si>
  <si>
    <t xml:space="preserve">Fin de soporte de la versión</t>
  </si>
  <si>
    <t xml:space="preserve">Soporte vigente (auto)</t>
  </si>
  <si>
    <t xml:space="preserve">BD-001</t>
  </si>
  <si>
    <t xml:space="preserve">mysql-prod-ventas-01</t>
  </si>
  <si>
    <t xml:space="preserve">MySQL</t>
  </si>
  <si>
    <t xml:space="preserve">8.0.36</t>
  </si>
  <si>
    <t xml:space="preserve">Community</t>
  </si>
  <si>
    <t xml:space="preserve">Producción</t>
  </si>
  <si>
    <t xml:space="preserve">Crítica</t>
  </si>
  <si>
    <t xml:space="preserve">Activo</t>
  </si>
  <si>
    <t xml:space="preserve">srv-mysql-01</t>
  </si>
  <si>
    <t xml:space="preserve">10.10.1.21</t>
  </si>
  <si>
    <t xml:space="preserve">On-premise</t>
  </si>
  <si>
    <t xml:space="preserve">RHEL 9</t>
  </si>
  <si>
    <t xml:space="preserve">Gerencia Comercial</t>
  </si>
  <si>
    <t xml:space="preserve">Tu nombre</t>
  </si>
  <si>
    <t xml:space="preserve">Portal de ventas</t>
  </si>
  <si>
    <t xml:space="preserve">PII</t>
  </si>
  <si>
    <t xml:space="preserve">GDPR/LOPD</t>
  </si>
  <si>
    <t xml:space="preserve">Parcial</t>
  </si>
  <si>
    <t xml:space="preserve">No</t>
  </si>
  <si>
    <t xml:space="preserve">Sí</t>
  </si>
  <si>
    <t xml:space="preserve">Replicación primaria/réplica</t>
  </si>
  <si>
    <t xml:space="preserve">XtraBackup + binlogs</t>
  </si>
  <si>
    <t xml:space="preserve">Diario</t>
  </si>
  <si>
    <t xml:space="preserve">EJEMPLO - reemplazar</t>
  </si>
  <si>
    <t xml:space="preserve">BD-002</t>
  </si>
  <si>
    <t xml:space="preserve">ORCLPRD</t>
  </si>
  <si>
    <t xml:space="preserve">Oracle</t>
  </si>
  <si>
    <t xml:space="preserve">19c</t>
  </si>
  <si>
    <t xml:space="preserve">Enterprise</t>
  </si>
  <si>
    <t xml:space="preserve">srv-ora-01</t>
  </si>
  <si>
    <t xml:space="preserve">10.10.2.15</t>
  </si>
  <si>
    <t xml:space="preserve">Oracle Linux 8</t>
  </si>
  <si>
    <t xml:space="preserve">Finanzas</t>
  </si>
  <si>
    <t xml:space="preserve">ERP</t>
  </si>
  <si>
    <t xml:space="preserve">Financiero</t>
  </si>
  <si>
    <t xml:space="preserve">SOX</t>
  </si>
  <si>
    <t xml:space="preserve">Data Guard</t>
  </si>
  <si>
    <t xml:space="preserve">RMAN</t>
  </si>
  <si>
    <t xml:space="preserve">Diario + archivelogs</t>
  </si>
  <si>
    <t xml:space="preserve">BD-003</t>
  </si>
  <si>
    <t xml:space="preserve">mongo-prod-logs-01</t>
  </si>
  <si>
    <t xml:space="preserve">MongoDB</t>
  </si>
  <si>
    <t xml:space="preserve">7.0</t>
  </si>
  <si>
    <t xml:space="preserve">Media</t>
  </si>
  <si>
    <t xml:space="preserve">srv-mongo-01</t>
  </si>
  <si>
    <t xml:space="preserve">10.10.3.8</t>
  </si>
  <si>
    <t xml:space="preserve">Nube pública</t>
  </si>
  <si>
    <t xml:space="preserve">Ubuntu 22.04</t>
  </si>
  <si>
    <t xml:space="preserve">TI</t>
  </si>
  <si>
    <t xml:space="preserve">Servicio de eventos</t>
  </si>
  <si>
    <t xml:space="preserve">Ninguno</t>
  </si>
  <si>
    <t xml:space="preserve">Ninguna</t>
  </si>
  <si>
    <t xml:space="preserve">Replica Set</t>
  </si>
  <si>
    <t xml:space="preserve">mongodump</t>
  </si>
  <si>
    <t xml:space="preserve">Semanal</t>
  </si>
  <si>
    <t xml:space="preserve">RESUMEN DEL INVENTARIO</t>
  </si>
  <si>
    <t xml:space="preserve">Todo se calcula desde la hoja Inventario (incluye las filas de ejemplo hasta que las borres).</t>
  </si>
  <si>
    <t xml:space="preserve">Instancias por motor y ambiente</t>
  </si>
  <si>
    <t xml:space="preserve">Preproducción</t>
  </si>
  <si>
    <t xml:space="preserve">Desarrollo</t>
  </si>
  <si>
    <t xml:space="preserve">QA/Pruebas</t>
  </si>
  <si>
    <t xml:space="preserve">DR</t>
  </si>
  <si>
    <t xml:space="preserve">Total</t>
  </si>
  <si>
    <t xml:space="preserve">PostgreSQL</t>
  </si>
  <si>
    <t xml:space="preserve">Indicadores de seguridad y continuidad (solo Producción)</t>
  </si>
  <si>
    <t xml:space="preserve">Indicador</t>
  </si>
  <si>
    <t xml:space="preserve">Cumple</t>
  </si>
  <si>
    <t xml:space="preserve">Total prod.</t>
  </si>
  <si>
    <t xml:space="preserve">% cumplimiento</t>
  </si>
  <si>
    <t xml:space="preserve">Auditoría activa (Sí)</t>
  </si>
  <si>
    <t xml:space="preserve">Restore probado en últimos 90 días</t>
  </si>
  <si>
    <t xml:space="preserve">Versión con soporte vigente</t>
  </si>
  <si>
    <t xml:space="preserve">Alertas</t>
  </si>
  <si>
    <t xml:space="preserve">Instancias SIN SOPORTE</t>
  </si>
  <si>
    <t xml:space="preserve">Restore sin probar (todas)</t>
  </si>
  <si>
    <t xml:space="preserve">Restore vencido &gt;90 días (todas)</t>
  </si>
  <si>
    <t xml:space="preserve">Críticas en Producción sin auditoría</t>
  </si>
  <si>
    <t xml:space="preserve">Con datos sensibles y sin cifrado en reposo</t>
  </si>
  <si>
    <t xml:space="preserve">SiNo</t>
  </si>
  <si>
    <t xml:space="preserve">Auditoría</t>
  </si>
  <si>
    <t xml:space="preserve">Normativa</t>
  </si>
  <si>
    <t xml:space="preserve">ISO 27001</t>
  </si>
  <si>
    <t xml:space="preserve">Alta</t>
  </si>
  <si>
    <t xml:space="preserve">PCI-DSS</t>
  </si>
  <si>
    <t xml:space="preserve">En migración</t>
  </si>
  <si>
    <t xml:space="preserve">Nube privada</t>
  </si>
  <si>
    <t xml:space="preserve">Salud</t>
  </si>
  <si>
    <t xml:space="preserve">Cluster (Galera/InnoDB/RAC)</t>
  </si>
  <si>
    <t xml:space="preserve">Por retirar</t>
  </si>
  <si>
    <t xml:space="preserve">Baja</t>
  </si>
  <si>
    <t xml:space="preserve">Híbrido</t>
  </si>
  <si>
    <t xml:space="preserve">Credenciales</t>
  </si>
  <si>
    <t xml:space="preserve">Retirado</t>
  </si>
  <si>
    <t xml:space="preserve">Propiedad intelectual</t>
  </si>
  <si>
    <t xml:space="preserve">HIPAA</t>
  </si>
  <si>
    <t xml:space="preserve">Patroni</t>
  </si>
  <si>
    <t xml:space="preserve">Regulador local</t>
  </si>
  <si>
    <t xml:space="preserve">Sharded Cluster</t>
  </si>
  <si>
    <t xml:space="preserve">Puedes editar o ampliar estas listas; las listas desplegables del Inventario las leen desde aquí.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</si>
</sst>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1F3864"/>
        <bgColor rgb="FF333333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0"/>
    <col collapsed="false" customWidth="true" hidden="false" outlineLevel="0" max="16" min="16" style="0" width="18"/>
    <col collapsed="false" customWidth="true" hidden="false" outlineLevel="0" max="17" min="17" style="0" width="26"/>
    <col collapsed="false" customWidth="true" hidden="false" outlineLevel="0" max="18" min="18" style="0" width="18"/>
    <col collapsed="false" customWidth="true" hidden="false" outlineLevel="0" max="19" min="19" style="0" width="16"/>
    <col collapsed="false" customWidth="true" hidden="false" outlineLevel="0" max="25" min="20" style="0" width="12"/>
    <col collapsed="false" customWidth="true" hidden="false" outlineLevel="0" max="26" min="26" style="0" width="24"/>
    <col collapsed="false" customWidth="true" hidden="false" outlineLevel="0" max="27" min="27" style="0" width="20"/>
    <col collapsed="false" customWidth="true" hidden="false" outlineLevel="0" max="28" min="28" style="0" width="16"/>
    <col collapsed="false" customWidth="true" hidden="false" outlineLevel="0" max="30" min="29" style="0" width="10"/>
    <col collapsed="false" customWidth="true" hidden="false" outlineLevel="0" max="31" min="31" style="0" width="14"/>
    <col collapsed="false" customWidth="true" hidden="false" outlineLevel="0" max="32" min="32" style="0" width="16"/>
    <col collapsed="false" customWidth="true" hidden="false" outlineLevel="0" max="35" min="33" style="0" width="14"/>
    <col collapsed="false" customWidth="true" hidden="false" outlineLevel="0" max="36" min="36" style="0" width="36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20</v>
      </c>
    </row>
    <row r="4" customFormat="false" ht="15" hidden="false" customHeight="false" outlineLevel="0" collapsed="false">
      <c r="A4" s="5" t="s">
        <v>21</v>
      </c>
      <c r="B4" s="5"/>
      <c r="C4" s="5"/>
      <c r="D4" s="5"/>
      <c r="E4" s="5"/>
      <c r="F4" s="5"/>
      <c r="G4" s="5"/>
      <c r="H4" s="5"/>
      <c r="I4" s="5" t="s">
        <v>22</v>
      </c>
      <c r="J4" s="5"/>
      <c r="K4" s="5"/>
      <c r="L4" s="5"/>
      <c r="M4" s="5"/>
      <c r="N4" s="5"/>
      <c r="O4" s="5" t="s">
        <v>23</v>
      </c>
      <c r="P4" s="5"/>
      <c r="Q4" s="5"/>
      <c r="R4" s="5" t="s">
        <v>24</v>
      </c>
      <c r="S4" s="5"/>
      <c r="T4" s="5" t="s">
        <v>25</v>
      </c>
      <c r="U4" s="5"/>
      <c r="V4" s="5"/>
      <c r="W4" s="5"/>
      <c r="X4" s="5"/>
      <c r="Y4" s="5"/>
      <c r="Z4" s="5" t="s">
        <v>26</v>
      </c>
      <c r="AA4" s="5"/>
      <c r="AB4" s="5"/>
      <c r="AC4" s="5"/>
      <c r="AD4" s="5"/>
      <c r="AE4" s="5"/>
      <c r="AF4" s="5"/>
      <c r="AG4" s="5" t="s">
        <v>17</v>
      </c>
      <c r="AH4" s="5"/>
      <c r="AI4" s="5"/>
      <c r="AJ4" s="6" t="s">
        <v>27</v>
      </c>
    </row>
    <row r="5" customFormat="false" ht="42" hidden="false" customHeight="true" outlineLevel="0" collapsed="false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  <c r="I5" s="7" t="s">
        <v>36</v>
      </c>
      <c r="J5" s="7" t="s">
        <v>37</v>
      </c>
      <c r="K5" s="7" t="s">
        <v>38</v>
      </c>
      <c r="L5" s="7" t="s">
        <v>39</v>
      </c>
      <c r="M5" s="7" t="s">
        <v>40</v>
      </c>
      <c r="N5" s="7" t="s">
        <v>41</v>
      </c>
      <c r="O5" s="7" t="s">
        <v>42</v>
      </c>
      <c r="P5" s="7" t="s">
        <v>43</v>
      </c>
      <c r="Q5" s="7" t="s">
        <v>44</v>
      </c>
      <c r="R5" s="7" t="s">
        <v>45</v>
      </c>
      <c r="S5" s="7" t="s">
        <v>46</v>
      </c>
      <c r="T5" s="7" t="s">
        <v>47</v>
      </c>
      <c r="U5" s="7" t="s">
        <v>48</v>
      </c>
      <c r="V5" s="7" t="s">
        <v>49</v>
      </c>
      <c r="W5" s="7" t="s">
        <v>50</v>
      </c>
      <c r="X5" s="7" t="s">
        <v>51</v>
      </c>
      <c r="Y5" s="7" t="s">
        <v>52</v>
      </c>
      <c r="Z5" s="7" t="s">
        <v>53</v>
      </c>
      <c r="AA5" s="7" t="s">
        <v>54</v>
      </c>
      <c r="AB5" s="7" t="s">
        <v>55</v>
      </c>
      <c r="AC5" s="7" t="s">
        <v>56</v>
      </c>
      <c r="AD5" s="7" t="s">
        <v>57</v>
      </c>
      <c r="AE5" s="7" t="s">
        <v>58</v>
      </c>
      <c r="AF5" s="7" t="s">
        <v>59</v>
      </c>
      <c r="AG5" s="7" t="s">
        <v>60</v>
      </c>
      <c r="AH5" s="7" t="s">
        <v>61</v>
      </c>
      <c r="AI5" s="7" t="s">
        <v>62</v>
      </c>
      <c r="AJ5" s="7" t="s">
        <v>27</v>
      </c>
    </row>
    <row r="6" customFormat="false" ht="15" hidden="false" customHeight="false" outlineLevel="0" collapsed="false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n">
        <v>3306</v>
      </c>
      <c r="L6" s="8" t="s">
        <v>73</v>
      </c>
      <c r="M6" s="8" t="s">
        <v>74</v>
      </c>
      <c r="N6" s="8" t="n">
        <v>420</v>
      </c>
      <c r="O6" s="8" t="s">
        <v>75</v>
      </c>
      <c r="P6" s="8" t="s">
        <v>76</v>
      </c>
      <c r="Q6" s="8" t="s">
        <v>77</v>
      </c>
      <c r="R6" s="8" t="s">
        <v>78</v>
      </c>
      <c r="S6" s="8" t="s">
        <v>79</v>
      </c>
      <c r="T6" s="8" t="s">
        <v>80</v>
      </c>
      <c r="U6" s="8" t="s">
        <v>81</v>
      </c>
      <c r="V6" s="8" t="s">
        <v>81</v>
      </c>
      <c r="W6" s="8" t="s">
        <v>82</v>
      </c>
      <c r="X6" s="8" t="s">
        <v>81</v>
      </c>
      <c r="Y6" s="8" t="s">
        <v>81</v>
      </c>
      <c r="Z6" s="8" t="s">
        <v>83</v>
      </c>
      <c r="AA6" s="8" t="s">
        <v>84</v>
      </c>
      <c r="AB6" s="8" t="s">
        <v>85</v>
      </c>
      <c r="AC6" s="8" t="n">
        <v>15</v>
      </c>
      <c r="AD6" s="8" t="n">
        <v>120</v>
      </c>
      <c r="AE6" s="9" t="n">
        <v>46188</v>
      </c>
      <c r="AF6" s="10" t="str">
        <f aca="true">IF(A6="","",IF(AE6="","Sin probar",IF(TODAY()-AE6&gt;90,"Vencido (&gt;90 días)","OK")))</f>
        <v>Vencido (&gt;90 días)</v>
      </c>
      <c r="AG6" s="9" t="n">
        <v>46132</v>
      </c>
      <c r="AH6" s="9" t="n">
        <v>46142</v>
      </c>
      <c r="AI6" s="10" t="str">
        <f aca="true">IF(A6="","",IF(AH6="","Sin dato",IF(AH6&lt;TODAY(),"SIN SOPORTE",IF(AH6-TODAY()&lt;180,"Por vencer","Vigente"))))</f>
        <v>SIN SOPORTE</v>
      </c>
      <c r="AJ6" s="11" t="s">
        <v>86</v>
      </c>
    </row>
    <row r="7" customFormat="false" ht="15" hidden="false" customHeight="false" outlineLevel="0" collapsed="false">
      <c r="A7" s="8" t="s">
        <v>87</v>
      </c>
      <c r="B7" s="8" t="s">
        <v>88</v>
      </c>
      <c r="C7" s="8" t="s">
        <v>89</v>
      </c>
      <c r="D7" s="8" t="s">
        <v>90</v>
      </c>
      <c r="E7" s="8" t="s">
        <v>91</v>
      </c>
      <c r="F7" s="8" t="s">
        <v>68</v>
      </c>
      <c r="G7" s="8" t="s">
        <v>69</v>
      </c>
      <c r="H7" s="8" t="s">
        <v>70</v>
      </c>
      <c r="I7" s="8" t="s">
        <v>92</v>
      </c>
      <c r="J7" s="8" t="s">
        <v>93</v>
      </c>
      <c r="K7" s="8" t="n">
        <v>1521</v>
      </c>
      <c r="L7" s="8" t="s">
        <v>73</v>
      </c>
      <c r="M7" s="8" t="s">
        <v>94</v>
      </c>
      <c r="N7" s="8" t="n">
        <v>1800</v>
      </c>
      <c r="O7" s="8" t="s">
        <v>95</v>
      </c>
      <c r="P7" s="8" t="s">
        <v>76</v>
      </c>
      <c r="Q7" s="8" t="s">
        <v>96</v>
      </c>
      <c r="R7" s="8" t="s">
        <v>97</v>
      </c>
      <c r="S7" s="8" t="s">
        <v>98</v>
      </c>
      <c r="T7" s="8" t="s">
        <v>82</v>
      </c>
      <c r="U7" s="8" t="s">
        <v>82</v>
      </c>
      <c r="V7" s="8" t="s">
        <v>82</v>
      </c>
      <c r="W7" s="8" t="s">
        <v>82</v>
      </c>
      <c r="X7" s="8" t="s">
        <v>82</v>
      </c>
      <c r="Y7" s="8" t="s">
        <v>82</v>
      </c>
      <c r="Z7" s="8" t="s">
        <v>99</v>
      </c>
      <c r="AA7" s="8" t="s">
        <v>100</v>
      </c>
      <c r="AB7" s="8" t="s">
        <v>101</v>
      </c>
      <c r="AC7" s="8" t="n">
        <v>5</v>
      </c>
      <c r="AD7" s="8" t="n">
        <v>60</v>
      </c>
      <c r="AE7" s="9" t="n">
        <v>46275</v>
      </c>
      <c r="AF7" s="10" t="str">
        <f aca="true">IF(A7="","",IF(AE7="","Sin probar",IF(TODAY()-AE7&gt;90,"Vencido (&gt;90 días)","OK")))</f>
        <v>OK</v>
      </c>
      <c r="AG7" s="9" t="n">
        <v>46221</v>
      </c>
      <c r="AH7" s="9" t="n">
        <v>46507</v>
      </c>
      <c r="AI7" s="10" t="str">
        <f aca="true">IF(A7="","",IF(AH7="","Sin dato",IF(AH7&lt;TODAY(),"SIN SOPORTE",IF(AH7-TODAY()&lt;180,"Por vencer","Vigente"))))</f>
        <v>Vigente</v>
      </c>
      <c r="AJ7" s="11" t="s">
        <v>86</v>
      </c>
    </row>
    <row r="8" customFormat="false" ht="15" hidden="false" customHeight="false" outlineLevel="0" collapsed="false">
      <c r="A8" s="8" t="s">
        <v>102</v>
      </c>
      <c r="B8" s="8" t="s">
        <v>103</v>
      </c>
      <c r="C8" s="8" t="s">
        <v>104</v>
      </c>
      <c r="D8" s="8" t="s">
        <v>105</v>
      </c>
      <c r="E8" s="8" t="s">
        <v>67</v>
      </c>
      <c r="F8" s="8" t="s">
        <v>68</v>
      </c>
      <c r="G8" s="8" t="s">
        <v>106</v>
      </c>
      <c r="H8" s="8" t="s">
        <v>70</v>
      </c>
      <c r="I8" s="8" t="s">
        <v>107</v>
      </c>
      <c r="J8" s="8" t="s">
        <v>108</v>
      </c>
      <c r="K8" s="8" t="n">
        <v>27017</v>
      </c>
      <c r="L8" s="8" t="s">
        <v>109</v>
      </c>
      <c r="M8" s="8" t="s">
        <v>110</v>
      </c>
      <c r="N8" s="8" t="n">
        <v>95</v>
      </c>
      <c r="O8" s="8" t="s">
        <v>111</v>
      </c>
      <c r="P8" s="8" t="s">
        <v>76</v>
      </c>
      <c r="Q8" s="8" t="s">
        <v>112</v>
      </c>
      <c r="R8" s="8" t="s">
        <v>113</v>
      </c>
      <c r="S8" s="8" t="s">
        <v>114</v>
      </c>
      <c r="T8" s="8" t="s">
        <v>81</v>
      </c>
      <c r="U8" s="8" t="s">
        <v>81</v>
      </c>
      <c r="V8" s="8" t="s">
        <v>81</v>
      </c>
      <c r="W8" s="8" t="s">
        <v>81</v>
      </c>
      <c r="X8" s="8" t="s">
        <v>81</v>
      </c>
      <c r="Y8" s="8" t="s">
        <v>81</v>
      </c>
      <c r="Z8" s="8" t="s">
        <v>115</v>
      </c>
      <c r="AA8" s="8" t="s">
        <v>116</v>
      </c>
      <c r="AB8" s="8" t="s">
        <v>117</v>
      </c>
      <c r="AC8" s="8" t="n">
        <v>1440</v>
      </c>
      <c r="AD8" s="8" t="n">
        <v>240</v>
      </c>
      <c r="AE8" s="9"/>
      <c r="AF8" s="10" t="str">
        <f aca="true">IF(A8="","",IF(AE8="","Sin probar",IF(TODAY()-AE8&gt;90,"Vencido (&gt;90 días)","OK")))</f>
        <v>Sin probar</v>
      </c>
      <c r="AG8" s="9" t="n">
        <v>46058</v>
      </c>
      <c r="AH8" s="9" t="n">
        <v>46630</v>
      </c>
      <c r="AI8" s="10" t="str">
        <f aca="true">IF(A8="","",IF(AH8="","Sin dato",IF(AH8&lt;TODAY(),"SIN SOPORTE",IF(AH8-TODAY()&lt;180,"Por vencer","Vigente"))))</f>
        <v>Vigente</v>
      </c>
      <c r="AJ8" s="11" t="s">
        <v>86</v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3"/>
      <c r="AF9" s="10" t="str">
        <f aca="true">IF(A9="","",IF(AE9="","Sin probar",IF(TODAY()-AE9&gt;90,"Vencido (&gt;90 días)","OK")))</f>
        <v/>
      </c>
      <c r="AG9" s="13"/>
      <c r="AH9" s="13"/>
      <c r="AI9" s="10" t="str">
        <f aca="true">IF(A9="","",IF(AH9="","Sin dato",IF(AH9&lt;TODAY(),"SIN SOPORTE",IF(AH9-TODAY()&lt;180,"Por vencer","Vigente"))))</f>
        <v/>
      </c>
      <c r="AJ9" s="14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3"/>
      <c r="AF10" s="10" t="str">
        <f aca="true">IF(A10="","",IF(AE10="","Sin probar",IF(TODAY()-AE10&gt;90,"Vencido (&gt;90 días)","OK")))</f>
        <v/>
      </c>
      <c r="AG10" s="13"/>
      <c r="AH10" s="13"/>
      <c r="AI10" s="10" t="str">
        <f aca="true">IF(A10="","",IF(AH10="","Sin dato",IF(AH10&lt;TODAY(),"SIN SOPORTE",IF(AH10-TODAY()&lt;180,"Por vencer","Vigente"))))</f>
        <v/>
      </c>
      <c r="AJ10" s="14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3"/>
      <c r="AF11" s="10" t="str">
        <f aca="true">IF(A11="","",IF(AE11="","Sin probar",IF(TODAY()-AE11&gt;90,"Vencido (&gt;90 días)","OK")))</f>
        <v/>
      </c>
      <c r="AG11" s="13"/>
      <c r="AH11" s="13"/>
      <c r="AI11" s="10" t="str">
        <f aca="true">IF(A11="","",IF(AH11="","Sin dato",IF(AH11&lt;TODAY(),"SIN SOPORTE",IF(AH11-TODAY()&lt;180,"Por vencer","Vigente"))))</f>
        <v/>
      </c>
      <c r="AJ11" s="14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3"/>
      <c r="AF12" s="10" t="str">
        <f aca="true">IF(A12="","",IF(AE12="","Sin probar",IF(TODAY()-AE12&gt;90,"Vencido (&gt;90 días)","OK")))</f>
        <v/>
      </c>
      <c r="AG12" s="13"/>
      <c r="AH12" s="13"/>
      <c r="AI12" s="10" t="str">
        <f aca="true">IF(A12="","",IF(AH12="","Sin dato",IF(AH12&lt;TODAY(),"SIN SOPORTE",IF(AH12-TODAY()&lt;180,"Por vencer","Vigente"))))</f>
        <v/>
      </c>
      <c r="AJ12" s="14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  <c r="AF13" s="10" t="str">
        <f aca="true">IF(A13="","",IF(AE13="","Sin probar",IF(TODAY()-AE13&gt;90,"Vencido (&gt;90 días)","OK")))</f>
        <v/>
      </c>
      <c r="AG13" s="13"/>
      <c r="AH13" s="13"/>
      <c r="AI13" s="10" t="str">
        <f aca="true">IF(A13="","",IF(AH13="","Sin dato",IF(AH13&lt;TODAY(),"SIN SOPORTE",IF(AH13-TODAY()&lt;180,"Por vencer","Vigente"))))</f>
        <v/>
      </c>
      <c r="AJ13" s="14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"/>
      <c r="AF14" s="10" t="str">
        <f aca="true">IF(A14="","",IF(AE14="","Sin probar",IF(TODAY()-AE14&gt;90,"Vencido (&gt;90 días)","OK")))</f>
        <v/>
      </c>
      <c r="AG14" s="13"/>
      <c r="AH14" s="13"/>
      <c r="AI14" s="10" t="str">
        <f aca="true">IF(A14="","",IF(AH14="","Sin dato",IF(AH14&lt;TODAY(),"SIN SOPORTE",IF(AH14-TODAY()&lt;180,"Por vencer","Vigente"))))</f>
        <v/>
      </c>
      <c r="AJ14" s="14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  <c r="AF15" s="10" t="str">
        <f aca="true">IF(A15="","",IF(AE15="","Sin probar",IF(TODAY()-AE15&gt;90,"Vencido (&gt;90 días)","OK")))</f>
        <v/>
      </c>
      <c r="AG15" s="13"/>
      <c r="AH15" s="13"/>
      <c r="AI15" s="10" t="str">
        <f aca="true">IF(A15="","",IF(AH15="","Sin dato",IF(AH15&lt;TODAY(),"SIN SOPORTE",IF(AH15-TODAY()&lt;180,"Por vencer","Vigente"))))</f>
        <v/>
      </c>
      <c r="AJ15" s="14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"/>
      <c r="AF16" s="10" t="str">
        <f aca="true">IF(A16="","",IF(AE16="","Sin probar",IF(TODAY()-AE16&gt;90,"Vencido (&gt;90 días)","OK")))</f>
        <v/>
      </c>
      <c r="AG16" s="13"/>
      <c r="AH16" s="13"/>
      <c r="AI16" s="10" t="str">
        <f aca="true">IF(A16="","",IF(AH16="","Sin dato",IF(AH16&lt;TODAY(),"SIN SOPORTE",IF(AH16-TODAY()&lt;180,"Por vencer","Vigente"))))</f>
        <v/>
      </c>
      <c r="AJ16" s="14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  <c r="AF17" s="10" t="str">
        <f aca="true">IF(A17="","",IF(AE17="","Sin probar",IF(TODAY()-AE17&gt;90,"Vencido (&gt;90 días)","OK")))</f>
        <v/>
      </c>
      <c r="AG17" s="13"/>
      <c r="AH17" s="13"/>
      <c r="AI17" s="10" t="str">
        <f aca="true">IF(A17="","",IF(AH17="","Sin dato",IF(AH17&lt;TODAY(),"SIN SOPORTE",IF(AH17-TODAY()&lt;180,"Por vencer","Vigente"))))</f>
        <v/>
      </c>
      <c r="AJ17" s="14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0" t="str">
        <f aca="true">IF(A18="","",IF(AE18="","Sin probar",IF(TODAY()-AE18&gt;90,"Vencido (&gt;90 días)","OK")))</f>
        <v/>
      </c>
      <c r="AG18" s="13"/>
      <c r="AH18" s="13"/>
      <c r="AI18" s="10" t="str">
        <f aca="true">IF(A18="","",IF(AH18="","Sin dato",IF(AH18&lt;TODAY(),"SIN SOPORTE",IF(AH18-TODAY()&lt;180,"Por vencer","Vigente"))))</f>
        <v/>
      </c>
      <c r="AJ18" s="14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0" t="str">
        <f aca="true">IF(A19="","",IF(AE19="","Sin probar",IF(TODAY()-AE19&gt;90,"Vencido (&gt;90 días)","OK")))</f>
        <v/>
      </c>
      <c r="AG19" s="13"/>
      <c r="AH19" s="13"/>
      <c r="AI19" s="10" t="str">
        <f aca="true">IF(A19="","",IF(AH19="","Sin dato",IF(AH19&lt;TODAY(),"SIN SOPORTE",IF(AH19-TODAY()&lt;180,"Por vencer","Vigente"))))</f>
        <v/>
      </c>
      <c r="AJ19" s="14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0" t="str">
        <f aca="true">IF(A20="","",IF(AE20="","Sin probar",IF(TODAY()-AE20&gt;90,"Vencido (&gt;90 días)","OK")))</f>
        <v/>
      </c>
      <c r="AG20" s="13"/>
      <c r="AH20" s="13"/>
      <c r="AI20" s="10" t="str">
        <f aca="true">IF(A20="","",IF(AH20="","Sin dato",IF(AH20&lt;TODAY(),"SIN SOPORTE",IF(AH20-TODAY()&lt;180,"Por vencer","Vigente"))))</f>
        <v/>
      </c>
      <c r="AJ20" s="14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0" t="str">
        <f aca="true">IF(A21="","",IF(AE21="","Sin probar",IF(TODAY()-AE21&gt;90,"Vencido (&gt;90 días)","OK")))</f>
        <v/>
      </c>
      <c r="AG21" s="13"/>
      <c r="AH21" s="13"/>
      <c r="AI21" s="10" t="str">
        <f aca="true">IF(A21="","",IF(AH21="","Sin dato",IF(AH21&lt;TODAY(),"SIN SOPORTE",IF(AH21-TODAY()&lt;180,"Por vencer","Vigente"))))</f>
        <v/>
      </c>
      <c r="AJ21" s="14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3"/>
      <c r="AF22" s="10" t="str">
        <f aca="true">IF(A22="","",IF(AE22="","Sin probar",IF(TODAY()-AE22&gt;90,"Vencido (&gt;90 días)","OK")))</f>
        <v/>
      </c>
      <c r="AG22" s="13"/>
      <c r="AH22" s="13"/>
      <c r="AI22" s="10" t="str">
        <f aca="true">IF(A22="","",IF(AH22="","Sin dato",IF(AH22&lt;TODAY(),"SIN SOPORTE",IF(AH22-TODAY()&lt;180,"Por vencer","Vigente"))))</f>
        <v/>
      </c>
      <c r="AJ22" s="14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0" t="str">
        <f aca="true">IF(A23="","",IF(AE23="","Sin probar",IF(TODAY()-AE23&gt;90,"Vencido (&gt;90 días)","OK")))</f>
        <v/>
      </c>
      <c r="AG23" s="13"/>
      <c r="AH23" s="13"/>
      <c r="AI23" s="10" t="str">
        <f aca="true">IF(A23="","",IF(AH23="","Sin dato",IF(AH23&lt;TODAY(),"SIN SOPORTE",IF(AH23-TODAY()&lt;180,"Por vencer","Vigente"))))</f>
        <v/>
      </c>
      <c r="AJ23" s="14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3"/>
      <c r="AF24" s="10" t="str">
        <f aca="true">IF(A24="","",IF(AE24="","Sin probar",IF(TODAY()-AE24&gt;90,"Vencido (&gt;90 días)","OK")))</f>
        <v/>
      </c>
      <c r="AG24" s="13"/>
      <c r="AH24" s="13"/>
      <c r="AI24" s="10" t="str">
        <f aca="true">IF(A24="","",IF(AH24="","Sin dato",IF(AH24&lt;TODAY(),"SIN SOPORTE",IF(AH24-TODAY()&lt;180,"Por vencer","Vigente"))))</f>
        <v/>
      </c>
      <c r="AJ24" s="14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3"/>
      <c r="AF25" s="10" t="str">
        <f aca="true">IF(A25="","",IF(AE25="","Sin probar",IF(TODAY()-AE25&gt;90,"Vencido (&gt;90 días)","OK")))</f>
        <v/>
      </c>
      <c r="AG25" s="13"/>
      <c r="AH25" s="13"/>
      <c r="AI25" s="10" t="str">
        <f aca="true">IF(A25="","",IF(AH25="","Sin dato",IF(AH25&lt;TODAY(),"SIN SOPORTE",IF(AH25-TODAY()&lt;180,"Por vencer","Vigente"))))</f>
        <v/>
      </c>
      <c r="AJ25" s="14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3"/>
      <c r="AF26" s="10" t="str">
        <f aca="true">IF(A26="","",IF(AE26="","Sin probar",IF(TODAY()-AE26&gt;90,"Vencido (&gt;90 días)","OK")))</f>
        <v/>
      </c>
      <c r="AG26" s="13"/>
      <c r="AH26" s="13"/>
      <c r="AI26" s="10" t="str">
        <f aca="true">IF(A26="","",IF(AH26="","Sin dato",IF(AH26&lt;TODAY(),"SIN SOPORTE",IF(AH26-TODAY()&lt;180,"Por vencer","Vigente"))))</f>
        <v/>
      </c>
      <c r="AJ26" s="14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3"/>
      <c r="AF27" s="10" t="str">
        <f aca="true">IF(A27="","",IF(AE27="","Sin probar",IF(TODAY()-AE27&gt;90,"Vencido (&gt;90 días)","OK")))</f>
        <v/>
      </c>
      <c r="AG27" s="13"/>
      <c r="AH27" s="13"/>
      <c r="AI27" s="10" t="str">
        <f aca="true">IF(A27="","",IF(AH27="","Sin dato",IF(AH27&lt;TODAY(),"SIN SOPORTE",IF(AH27-TODAY()&lt;180,"Por vencer","Vigente"))))</f>
        <v/>
      </c>
      <c r="AJ27" s="14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3"/>
      <c r="AF28" s="10" t="str">
        <f aca="true">IF(A28="","",IF(AE28="","Sin probar",IF(TODAY()-AE28&gt;90,"Vencido (&gt;90 días)","OK")))</f>
        <v/>
      </c>
      <c r="AG28" s="13"/>
      <c r="AH28" s="13"/>
      <c r="AI28" s="10" t="str">
        <f aca="true">IF(A28="","",IF(AH28="","Sin dato",IF(AH28&lt;TODAY(),"SIN SOPORTE",IF(AH28-TODAY()&lt;180,"Por vencer","Vigente"))))</f>
        <v/>
      </c>
      <c r="AJ28" s="14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3"/>
      <c r="AF29" s="10" t="str">
        <f aca="true">IF(A29="","",IF(AE29="","Sin probar",IF(TODAY()-AE29&gt;90,"Vencido (&gt;90 días)","OK")))</f>
        <v/>
      </c>
      <c r="AG29" s="13"/>
      <c r="AH29" s="13"/>
      <c r="AI29" s="10" t="str">
        <f aca="true">IF(A29="","",IF(AH29="","Sin dato",IF(AH29&lt;TODAY(),"SIN SOPORTE",IF(AH29-TODAY()&lt;180,"Por vencer","Vigente"))))</f>
        <v/>
      </c>
      <c r="AJ29" s="14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3"/>
      <c r="AF30" s="10" t="str">
        <f aca="true">IF(A30="","",IF(AE30="","Sin probar",IF(TODAY()-AE30&gt;90,"Vencido (&gt;90 días)","OK")))</f>
        <v/>
      </c>
      <c r="AG30" s="13"/>
      <c r="AH30" s="13"/>
      <c r="AI30" s="10" t="str">
        <f aca="true">IF(A30="","",IF(AH30="","Sin dato",IF(AH30&lt;TODAY(),"SIN SOPORTE",IF(AH30-TODAY()&lt;180,"Por vencer","Vigente"))))</f>
        <v/>
      </c>
      <c r="AJ30" s="14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3"/>
      <c r="AF31" s="10" t="str">
        <f aca="true">IF(A31="","",IF(AE31="","Sin probar",IF(TODAY()-AE31&gt;90,"Vencido (&gt;90 días)","OK")))</f>
        <v/>
      </c>
      <c r="AG31" s="13"/>
      <c r="AH31" s="13"/>
      <c r="AI31" s="10" t="str">
        <f aca="true">IF(A31="","",IF(AH31="","Sin dato",IF(AH31&lt;TODAY(),"SIN SOPORTE",IF(AH31-TODAY()&lt;180,"Por vencer","Vigente"))))</f>
        <v/>
      </c>
      <c r="AJ31" s="14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3"/>
      <c r="AF32" s="10" t="str">
        <f aca="true">IF(A32="","",IF(AE32="","Sin probar",IF(TODAY()-AE32&gt;90,"Vencido (&gt;90 días)","OK")))</f>
        <v/>
      </c>
      <c r="AG32" s="13"/>
      <c r="AH32" s="13"/>
      <c r="AI32" s="10" t="str">
        <f aca="true">IF(A32="","",IF(AH32="","Sin dato",IF(AH32&lt;TODAY(),"SIN SOPORTE",IF(AH32-TODAY()&lt;180,"Por vencer","Vigente"))))</f>
        <v/>
      </c>
      <c r="AJ32" s="14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3"/>
      <c r="AF33" s="10" t="str">
        <f aca="true">IF(A33="","",IF(AE33="","Sin probar",IF(TODAY()-AE33&gt;90,"Vencido (&gt;90 días)","OK")))</f>
        <v/>
      </c>
      <c r="AG33" s="13"/>
      <c r="AH33" s="13"/>
      <c r="AI33" s="10" t="str">
        <f aca="true">IF(A33="","",IF(AH33="","Sin dato",IF(AH33&lt;TODAY(),"SIN SOPORTE",IF(AH33-TODAY()&lt;180,"Por vencer","Vigente"))))</f>
        <v/>
      </c>
      <c r="AJ33" s="14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0" t="str">
        <f aca="true">IF(A34="","",IF(AE34="","Sin probar",IF(TODAY()-AE34&gt;90,"Vencido (&gt;90 días)","OK")))</f>
        <v/>
      </c>
      <c r="AG34" s="13"/>
      <c r="AH34" s="13"/>
      <c r="AI34" s="10" t="str">
        <f aca="true">IF(A34="","",IF(AH34="","Sin dato",IF(AH34&lt;TODAY(),"SIN SOPORTE",IF(AH34-TODAY()&lt;180,"Por vencer","Vigente"))))</f>
        <v/>
      </c>
      <c r="AJ34" s="14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0" t="str">
        <f aca="true">IF(A35="","",IF(AE35="","Sin probar",IF(TODAY()-AE35&gt;90,"Vencido (&gt;90 días)","OK")))</f>
        <v/>
      </c>
      <c r="AG35" s="13"/>
      <c r="AH35" s="13"/>
      <c r="AI35" s="10" t="str">
        <f aca="true">IF(A35="","",IF(AH35="","Sin dato",IF(AH35&lt;TODAY(),"SIN SOPORTE",IF(AH35-TODAY()&lt;180,"Por vencer","Vigente"))))</f>
        <v/>
      </c>
      <c r="AJ35" s="14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10" t="str">
        <f aca="true">IF(A36="","",IF(AE36="","Sin probar",IF(TODAY()-AE36&gt;90,"Vencido (&gt;90 días)","OK")))</f>
        <v/>
      </c>
      <c r="AG36" s="13"/>
      <c r="AH36" s="13"/>
      <c r="AI36" s="10" t="str">
        <f aca="true">IF(A36="","",IF(AH36="","Sin dato",IF(AH36&lt;TODAY(),"SIN SOPORTE",IF(AH36-TODAY()&lt;180,"Por vencer","Vigente"))))</f>
        <v/>
      </c>
      <c r="AJ36" s="14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10" t="str">
        <f aca="true">IF(A37="","",IF(AE37="","Sin probar",IF(TODAY()-AE37&gt;90,"Vencido (&gt;90 días)","OK")))</f>
        <v/>
      </c>
      <c r="AG37" s="13"/>
      <c r="AH37" s="13"/>
      <c r="AI37" s="10" t="str">
        <f aca="true">IF(A37="","",IF(AH37="","Sin dato",IF(AH37&lt;TODAY(),"SIN SOPORTE",IF(AH37-TODAY()&lt;180,"Por vencer","Vigente"))))</f>
        <v/>
      </c>
      <c r="AJ37" s="14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10" t="str">
        <f aca="true">IF(A38="","",IF(AE38="","Sin probar",IF(TODAY()-AE38&gt;90,"Vencido (&gt;90 días)","OK")))</f>
        <v/>
      </c>
      <c r="AG38" s="13"/>
      <c r="AH38" s="13"/>
      <c r="AI38" s="10" t="str">
        <f aca="true">IF(A38="","",IF(AH38="","Sin dato",IF(AH38&lt;TODAY(),"SIN SOPORTE",IF(AH38-TODAY()&lt;180,"Por vencer","Vigente"))))</f>
        <v/>
      </c>
      <c r="AJ38" s="14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0" t="str">
        <f aca="true">IF(A39="","",IF(AE39="","Sin probar",IF(TODAY()-AE39&gt;90,"Vencido (&gt;90 días)","OK")))</f>
        <v/>
      </c>
      <c r="AG39" s="13"/>
      <c r="AH39" s="13"/>
      <c r="AI39" s="10" t="str">
        <f aca="true">IF(A39="","",IF(AH39="","Sin dato",IF(AH39&lt;TODAY(),"SIN SOPORTE",IF(AH39-TODAY()&lt;180,"Por vencer","Vigente"))))</f>
        <v/>
      </c>
      <c r="AJ39" s="14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0" t="str">
        <f aca="true">IF(A40="","",IF(AE40="","Sin probar",IF(TODAY()-AE40&gt;90,"Vencido (&gt;90 días)","OK")))</f>
        <v/>
      </c>
      <c r="AG40" s="13"/>
      <c r="AH40" s="13"/>
      <c r="AI40" s="10" t="str">
        <f aca="true">IF(A40="","",IF(AH40="","Sin dato",IF(AH40&lt;TODAY(),"SIN SOPORTE",IF(AH40-TODAY()&lt;180,"Por vencer","Vigente"))))</f>
        <v/>
      </c>
      <c r="AJ40" s="14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3"/>
      <c r="AF41" s="10" t="str">
        <f aca="true">IF(A41="","",IF(AE41="","Sin probar",IF(TODAY()-AE41&gt;90,"Vencido (&gt;90 días)","OK")))</f>
        <v/>
      </c>
      <c r="AG41" s="13"/>
      <c r="AH41" s="13"/>
      <c r="AI41" s="10" t="str">
        <f aca="true">IF(A41="","",IF(AH41="","Sin dato",IF(AH41&lt;TODAY(),"SIN SOPORTE",IF(AH41-TODAY()&lt;180,"Por vencer","Vigente"))))</f>
        <v/>
      </c>
      <c r="AJ41" s="14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3"/>
      <c r="AF42" s="10" t="str">
        <f aca="true">IF(A42="","",IF(AE42="","Sin probar",IF(TODAY()-AE42&gt;90,"Vencido (&gt;90 días)","OK")))</f>
        <v/>
      </c>
      <c r="AG42" s="13"/>
      <c r="AH42" s="13"/>
      <c r="AI42" s="10" t="str">
        <f aca="true">IF(A42="","",IF(AH42="","Sin dato",IF(AH42&lt;TODAY(),"SIN SOPORTE",IF(AH42-TODAY()&lt;180,"Por vencer","Vigente"))))</f>
        <v/>
      </c>
      <c r="AJ42" s="14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3"/>
      <c r="AF43" s="10" t="str">
        <f aca="true">IF(A43="","",IF(AE43="","Sin probar",IF(TODAY()-AE43&gt;90,"Vencido (&gt;90 días)","OK")))</f>
        <v/>
      </c>
      <c r="AG43" s="13"/>
      <c r="AH43" s="13"/>
      <c r="AI43" s="10" t="str">
        <f aca="true">IF(A43="","",IF(AH43="","Sin dato",IF(AH43&lt;TODAY(),"SIN SOPORTE",IF(AH43-TODAY()&lt;180,"Por vencer","Vigente"))))</f>
        <v/>
      </c>
      <c r="AJ43" s="14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3"/>
      <c r="AF44" s="10" t="str">
        <f aca="true">IF(A44="","",IF(AE44="","Sin probar",IF(TODAY()-AE44&gt;90,"Vencido (&gt;90 días)","OK")))</f>
        <v/>
      </c>
      <c r="AG44" s="13"/>
      <c r="AH44" s="13"/>
      <c r="AI44" s="10" t="str">
        <f aca="true">IF(A44="","",IF(AH44="","Sin dato",IF(AH44&lt;TODAY(),"SIN SOPORTE",IF(AH44-TODAY()&lt;180,"Por vencer","Vigente"))))</f>
        <v/>
      </c>
      <c r="AJ44" s="14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3"/>
      <c r="AF45" s="10" t="str">
        <f aca="true">IF(A45="","",IF(AE45="","Sin probar",IF(TODAY()-AE45&gt;90,"Vencido (&gt;90 días)","OK")))</f>
        <v/>
      </c>
      <c r="AG45" s="13"/>
      <c r="AH45" s="13"/>
      <c r="AI45" s="10" t="str">
        <f aca="true">IF(A45="","",IF(AH45="","Sin dato",IF(AH45&lt;TODAY(),"SIN SOPORTE",IF(AH45-TODAY()&lt;180,"Por vencer","Vigente"))))</f>
        <v/>
      </c>
      <c r="AJ45" s="14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3"/>
      <c r="AF46" s="10" t="str">
        <f aca="true">IF(A46="","",IF(AE46="","Sin probar",IF(TODAY()-AE46&gt;90,"Vencido (&gt;90 días)","OK")))</f>
        <v/>
      </c>
      <c r="AG46" s="13"/>
      <c r="AH46" s="13"/>
      <c r="AI46" s="10" t="str">
        <f aca="true">IF(A46="","",IF(AH46="","Sin dato",IF(AH46&lt;TODAY(),"SIN SOPORTE",IF(AH46-TODAY()&lt;180,"Por vencer","Vigente"))))</f>
        <v/>
      </c>
      <c r="AJ46" s="14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3"/>
      <c r="AF47" s="10" t="str">
        <f aca="true">IF(A47="","",IF(AE47="","Sin probar",IF(TODAY()-AE47&gt;90,"Vencido (&gt;90 días)","OK")))</f>
        <v/>
      </c>
      <c r="AG47" s="13"/>
      <c r="AH47" s="13"/>
      <c r="AI47" s="10" t="str">
        <f aca="true">IF(A47="","",IF(AH47="","Sin dato",IF(AH47&lt;TODAY(),"SIN SOPORTE",IF(AH47-TODAY()&lt;180,"Por vencer","Vigente"))))</f>
        <v/>
      </c>
      <c r="AJ47" s="14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3"/>
      <c r="AF48" s="10" t="str">
        <f aca="true">IF(A48="","",IF(AE48="","Sin probar",IF(TODAY()-AE48&gt;90,"Vencido (&gt;90 días)","OK")))</f>
        <v/>
      </c>
      <c r="AG48" s="13"/>
      <c r="AH48" s="13"/>
      <c r="AI48" s="10" t="str">
        <f aca="true">IF(A48="","",IF(AH48="","Sin dato",IF(AH48&lt;TODAY(),"SIN SOPORTE",IF(AH48-TODAY()&lt;180,"Por vencer","Vigente"))))</f>
        <v/>
      </c>
      <c r="AJ48" s="14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3"/>
      <c r="AF49" s="10" t="str">
        <f aca="true">IF(A49="","",IF(AE49="","Sin probar",IF(TODAY()-AE49&gt;90,"Vencido (&gt;90 días)","OK")))</f>
        <v/>
      </c>
      <c r="AG49" s="13"/>
      <c r="AH49" s="13"/>
      <c r="AI49" s="10" t="str">
        <f aca="true">IF(A49="","",IF(AH49="","Sin dato",IF(AH49&lt;TODAY(),"SIN SOPORTE",IF(AH49-TODAY()&lt;180,"Por vencer","Vigente"))))</f>
        <v/>
      </c>
      <c r="AJ49" s="14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3"/>
      <c r="AF50" s="10" t="str">
        <f aca="true">IF(A50="","",IF(AE50="","Sin probar",IF(TODAY()-AE50&gt;90,"Vencido (&gt;90 días)","OK")))</f>
        <v/>
      </c>
      <c r="AG50" s="13"/>
      <c r="AH50" s="13"/>
      <c r="AI50" s="10" t="str">
        <f aca="true">IF(A50="","",IF(AH50="","Sin dato",IF(AH50&lt;TODAY(),"SIN SOPORTE",IF(AH50-TODAY()&lt;180,"Por vencer","Vigente"))))</f>
        <v/>
      </c>
      <c r="AJ50" s="14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3"/>
      <c r="AF51" s="10" t="str">
        <f aca="true">IF(A51="","",IF(AE51="","Sin probar",IF(TODAY()-AE51&gt;90,"Vencido (&gt;90 días)","OK")))</f>
        <v/>
      </c>
      <c r="AG51" s="13"/>
      <c r="AH51" s="13"/>
      <c r="AI51" s="10" t="str">
        <f aca="true">IF(A51="","",IF(AH51="","Sin dato",IF(AH51&lt;TODAY(),"SIN SOPORTE",IF(AH51-TODAY()&lt;180,"Por vencer","Vigente"))))</f>
        <v/>
      </c>
      <c r="AJ51" s="14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3"/>
      <c r="AF52" s="10" t="str">
        <f aca="true">IF(A52="","",IF(AE52="","Sin probar",IF(TODAY()-AE52&gt;90,"Vencido (&gt;90 días)","OK")))</f>
        <v/>
      </c>
      <c r="AG52" s="13"/>
      <c r="AH52" s="13"/>
      <c r="AI52" s="10" t="str">
        <f aca="true">IF(A52="","",IF(AH52="","Sin dato",IF(AH52&lt;TODAY(),"SIN SOPORTE",IF(AH52-TODAY()&lt;180,"Por vencer","Vigente"))))</f>
        <v/>
      </c>
      <c r="AJ52" s="14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3"/>
      <c r="AF53" s="10" t="str">
        <f aca="true">IF(A53="","",IF(AE53="","Sin probar",IF(TODAY()-AE53&gt;90,"Vencido (&gt;90 días)","OK")))</f>
        <v/>
      </c>
      <c r="AG53" s="13"/>
      <c r="AH53" s="13"/>
      <c r="AI53" s="10" t="str">
        <f aca="true">IF(A53="","",IF(AH53="","Sin dato",IF(AH53&lt;TODAY(),"SIN SOPORTE",IF(AH53-TODAY()&lt;180,"Por vencer","Vigente"))))</f>
        <v/>
      </c>
      <c r="AJ53" s="14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3"/>
      <c r="AF54" s="10" t="str">
        <f aca="true">IF(A54="","",IF(AE54="","Sin probar",IF(TODAY()-AE54&gt;90,"Vencido (&gt;90 días)","OK")))</f>
        <v/>
      </c>
      <c r="AG54" s="13"/>
      <c r="AH54" s="13"/>
      <c r="AI54" s="10" t="str">
        <f aca="true">IF(A54="","",IF(AH54="","Sin dato",IF(AH54&lt;TODAY(),"SIN SOPORTE",IF(AH54-TODAY()&lt;180,"Por vencer","Vigente"))))</f>
        <v/>
      </c>
      <c r="AJ54" s="14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3"/>
      <c r="AF55" s="10" t="str">
        <f aca="true">IF(A55="","",IF(AE55="","Sin probar",IF(TODAY()-AE55&gt;90,"Vencido (&gt;90 días)","OK")))</f>
        <v/>
      </c>
      <c r="AG55" s="13"/>
      <c r="AH55" s="13"/>
      <c r="AI55" s="10" t="str">
        <f aca="true">IF(A55="","",IF(AH55="","Sin dato",IF(AH55&lt;TODAY(),"SIN SOPORTE",IF(AH55-TODAY()&lt;180,"Por vencer","Vigente"))))</f>
        <v/>
      </c>
      <c r="AJ55" s="14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3"/>
      <c r="AF56" s="10" t="str">
        <f aca="true">IF(A56="","",IF(AE56="","Sin probar",IF(TODAY()-AE56&gt;90,"Vencido (&gt;90 días)","OK")))</f>
        <v/>
      </c>
      <c r="AG56" s="13"/>
      <c r="AH56" s="13"/>
      <c r="AI56" s="10" t="str">
        <f aca="true">IF(A56="","",IF(AH56="","Sin dato",IF(AH56&lt;TODAY(),"SIN SOPORTE",IF(AH56-TODAY()&lt;180,"Por vencer","Vigente"))))</f>
        <v/>
      </c>
      <c r="AJ56" s="14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3"/>
      <c r="AF57" s="10" t="str">
        <f aca="true">IF(A57="","",IF(AE57="","Sin probar",IF(TODAY()-AE57&gt;90,"Vencido (&gt;90 días)","OK")))</f>
        <v/>
      </c>
      <c r="AG57" s="13"/>
      <c r="AH57" s="13"/>
      <c r="AI57" s="10" t="str">
        <f aca="true">IF(A57="","",IF(AH57="","Sin dato",IF(AH57&lt;TODAY(),"SIN SOPORTE",IF(AH57-TODAY()&lt;180,"Por vencer","Vigente"))))</f>
        <v/>
      </c>
      <c r="AJ57" s="14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3"/>
      <c r="AF58" s="10" t="str">
        <f aca="true">IF(A58="","",IF(AE58="","Sin probar",IF(TODAY()-AE58&gt;90,"Vencido (&gt;90 días)","OK")))</f>
        <v/>
      </c>
      <c r="AG58" s="13"/>
      <c r="AH58" s="13"/>
      <c r="AI58" s="10" t="str">
        <f aca="true">IF(A58="","",IF(AH58="","Sin dato",IF(AH58&lt;TODAY(),"SIN SOPORTE",IF(AH58-TODAY()&lt;180,"Por vencer","Vigente"))))</f>
        <v/>
      </c>
      <c r="AJ58" s="14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3"/>
      <c r="AF59" s="10" t="str">
        <f aca="true">IF(A59="","",IF(AE59="","Sin probar",IF(TODAY()-AE59&gt;90,"Vencido (&gt;90 días)","OK")))</f>
        <v/>
      </c>
      <c r="AG59" s="13"/>
      <c r="AH59" s="13"/>
      <c r="AI59" s="10" t="str">
        <f aca="true">IF(A59="","",IF(AH59="","Sin dato",IF(AH59&lt;TODAY(),"SIN SOPORTE",IF(AH59-TODAY()&lt;180,"Por vencer","Vigente"))))</f>
        <v/>
      </c>
      <c r="AJ59" s="14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3"/>
      <c r="AF60" s="10" t="str">
        <f aca="true">IF(A60="","",IF(AE60="","Sin probar",IF(TODAY()-AE60&gt;90,"Vencido (&gt;90 días)","OK")))</f>
        <v/>
      </c>
      <c r="AG60" s="13"/>
      <c r="AH60" s="13"/>
      <c r="AI60" s="10" t="str">
        <f aca="true">IF(A60="","",IF(AH60="","Sin dato",IF(AH60&lt;TODAY(),"SIN SOPORTE",IF(AH60-TODAY()&lt;180,"Por vencer","Vigente"))))</f>
        <v/>
      </c>
      <c r="AJ60" s="14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3"/>
      <c r="AF61" s="10" t="str">
        <f aca="true">IF(A61="","",IF(AE61="","Sin probar",IF(TODAY()-AE61&gt;90,"Vencido (&gt;90 días)","OK")))</f>
        <v/>
      </c>
      <c r="AG61" s="13"/>
      <c r="AH61" s="13"/>
      <c r="AI61" s="10" t="str">
        <f aca="true">IF(A61="","",IF(AH61="","Sin dato",IF(AH61&lt;TODAY(),"SIN SOPORTE",IF(AH61-TODAY()&lt;180,"Por vencer","Vigente"))))</f>
        <v/>
      </c>
      <c r="AJ61" s="14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3"/>
      <c r="AF62" s="10" t="str">
        <f aca="true">IF(A62="","",IF(AE62="","Sin probar",IF(TODAY()-AE62&gt;90,"Vencido (&gt;90 días)","OK")))</f>
        <v/>
      </c>
      <c r="AG62" s="13"/>
      <c r="AH62" s="13"/>
      <c r="AI62" s="10" t="str">
        <f aca="true">IF(A62="","",IF(AH62="","Sin dato",IF(AH62&lt;TODAY(),"SIN SOPORTE",IF(AH62-TODAY()&lt;180,"Por vencer","Vigente"))))</f>
        <v/>
      </c>
      <c r="AJ62" s="14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3"/>
      <c r="AF63" s="10" t="str">
        <f aca="true">IF(A63="","",IF(AE63="","Sin probar",IF(TODAY()-AE63&gt;90,"Vencido (&gt;90 días)","OK")))</f>
        <v/>
      </c>
      <c r="AG63" s="13"/>
      <c r="AH63" s="13"/>
      <c r="AI63" s="10" t="str">
        <f aca="true">IF(A63="","",IF(AH63="","Sin dato",IF(AH63&lt;TODAY(),"SIN SOPORTE",IF(AH63-TODAY()&lt;180,"Por vencer","Vigente"))))</f>
        <v/>
      </c>
      <c r="AJ63" s="14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3"/>
      <c r="AF64" s="10" t="str">
        <f aca="true">IF(A64="","",IF(AE64="","Sin probar",IF(TODAY()-AE64&gt;90,"Vencido (&gt;90 días)","OK")))</f>
        <v/>
      </c>
      <c r="AG64" s="13"/>
      <c r="AH64" s="13"/>
      <c r="AI64" s="10" t="str">
        <f aca="true">IF(A64="","",IF(AH64="","Sin dato",IF(AH64&lt;TODAY(),"SIN SOPORTE",IF(AH64-TODAY()&lt;180,"Por vencer","Vigente"))))</f>
        <v/>
      </c>
      <c r="AJ64" s="14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3"/>
      <c r="AF65" s="10" t="str">
        <f aca="true">IF(A65="","",IF(AE65="","Sin probar",IF(TODAY()-AE65&gt;90,"Vencido (&gt;90 días)","OK")))</f>
        <v/>
      </c>
      <c r="AG65" s="13"/>
      <c r="AH65" s="13"/>
      <c r="AI65" s="10" t="str">
        <f aca="true">IF(A65="","",IF(AH65="","Sin dato",IF(AH65&lt;TODAY(),"SIN SOPORTE",IF(AH65-TODAY()&lt;180,"Por vencer","Vigente"))))</f>
        <v/>
      </c>
      <c r="AJ65" s="14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3"/>
      <c r="AF66" s="10" t="str">
        <f aca="true">IF(A66="","",IF(AE66="","Sin probar",IF(TODAY()-AE66&gt;90,"Vencido (&gt;90 días)","OK")))</f>
        <v/>
      </c>
      <c r="AG66" s="13"/>
      <c r="AH66" s="13"/>
      <c r="AI66" s="10" t="str">
        <f aca="true">IF(A66="","",IF(AH66="","Sin dato",IF(AH66&lt;TODAY(),"SIN SOPORTE",IF(AH66-TODAY()&lt;180,"Por vencer","Vigente"))))</f>
        <v/>
      </c>
      <c r="AJ66" s="14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3"/>
      <c r="AF67" s="10" t="str">
        <f aca="true">IF(A67="","",IF(AE67="","Sin probar",IF(TODAY()-AE67&gt;90,"Vencido (&gt;90 días)","OK")))</f>
        <v/>
      </c>
      <c r="AG67" s="13"/>
      <c r="AH67" s="13"/>
      <c r="AI67" s="10" t="str">
        <f aca="true">IF(A67="","",IF(AH67="","Sin dato",IF(AH67&lt;TODAY(),"SIN SOPORTE",IF(AH67-TODAY()&lt;180,"Por vencer","Vigente"))))</f>
        <v/>
      </c>
      <c r="AJ67" s="14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3"/>
      <c r="AF68" s="10" t="str">
        <f aca="true">IF(A68="","",IF(AE68="","Sin probar",IF(TODAY()-AE68&gt;90,"Vencido (&gt;90 días)","OK")))</f>
        <v/>
      </c>
      <c r="AG68" s="13"/>
      <c r="AH68" s="13"/>
      <c r="AI68" s="10" t="str">
        <f aca="true">IF(A68="","",IF(AH68="","Sin dato",IF(AH68&lt;TODAY(),"SIN SOPORTE",IF(AH68-TODAY()&lt;180,"Por vencer","Vigente"))))</f>
        <v/>
      </c>
      <c r="AJ68" s="14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3"/>
      <c r="AF69" s="10" t="str">
        <f aca="true">IF(A69="","",IF(AE69="","Sin probar",IF(TODAY()-AE69&gt;90,"Vencido (&gt;90 días)","OK")))</f>
        <v/>
      </c>
      <c r="AG69" s="13"/>
      <c r="AH69" s="13"/>
      <c r="AI69" s="10" t="str">
        <f aca="true">IF(A69="","",IF(AH69="","Sin dato",IF(AH69&lt;TODAY(),"SIN SOPORTE",IF(AH69-TODAY()&lt;180,"Por vencer","Vigente"))))</f>
        <v/>
      </c>
      <c r="AJ69" s="14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3"/>
      <c r="AF70" s="10" t="str">
        <f aca="true">IF(A70="","",IF(AE70="","Sin probar",IF(TODAY()-AE70&gt;90,"Vencido (&gt;90 días)","OK")))</f>
        <v/>
      </c>
      <c r="AG70" s="13"/>
      <c r="AH70" s="13"/>
      <c r="AI70" s="10" t="str">
        <f aca="true">IF(A70="","",IF(AH70="","Sin dato",IF(AH70&lt;TODAY(),"SIN SOPORTE",IF(AH70-TODAY()&lt;180,"Por vencer","Vigente"))))</f>
        <v/>
      </c>
      <c r="AJ70" s="14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3"/>
      <c r="AF71" s="10" t="str">
        <f aca="true">IF(A71="","",IF(AE71="","Sin probar",IF(TODAY()-AE71&gt;90,"Vencido (&gt;90 días)","OK")))</f>
        <v/>
      </c>
      <c r="AG71" s="13"/>
      <c r="AH71" s="13"/>
      <c r="AI71" s="10" t="str">
        <f aca="true">IF(A71="","",IF(AH71="","Sin dato",IF(AH71&lt;TODAY(),"SIN SOPORTE",IF(AH71-TODAY()&lt;180,"Por vencer","Vigente"))))</f>
        <v/>
      </c>
      <c r="AJ71" s="14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3"/>
      <c r="AF72" s="10" t="str">
        <f aca="true">IF(A72="","",IF(AE72="","Sin probar",IF(TODAY()-AE72&gt;90,"Vencido (&gt;90 días)","OK")))</f>
        <v/>
      </c>
      <c r="AG72" s="13"/>
      <c r="AH72" s="13"/>
      <c r="AI72" s="10" t="str">
        <f aca="true">IF(A72="","",IF(AH72="","Sin dato",IF(AH72&lt;TODAY(),"SIN SOPORTE",IF(AH72-TODAY()&lt;180,"Por vencer","Vigente"))))</f>
        <v/>
      </c>
      <c r="AJ72" s="14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3"/>
      <c r="AF73" s="10" t="str">
        <f aca="true">IF(A73="","",IF(AE73="","Sin probar",IF(TODAY()-AE73&gt;90,"Vencido (&gt;90 días)","OK")))</f>
        <v/>
      </c>
      <c r="AG73" s="13"/>
      <c r="AH73" s="13"/>
      <c r="AI73" s="10" t="str">
        <f aca="true">IF(A73="","",IF(AH73="","Sin dato",IF(AH73&lt;TODAY(),"SIN SOPORTE",IF(AH73-TODAY()&lt;180,"Por vencer","Vigente"))))</f>
        <v/>
      </c>
      <c r="AJ73" s="14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3"/>
      <c r="AF74" s="10" t="str">
        <f aca="true">IF(A74="","",IF(AE74="","Sin probar",IF(TODAY()-AE74&gt;90,"Vencido (&gt;90 días)","OK")))</f>
        <v/>
      </c>
      <c r="AG74" s="13"/>
      <c r="AH74" s="13"/>
      <c r="AI74" s="10" t="str">
        <f aca="true">IF(A74="","",IF(AH74="","Sin dato",IF(AH74&lt;TODAY(),"SIN SOPORTE",IF(AH74-TODAY()&lt;180,"Por vencer","Vigente"))))</f>
        <v/>
      </c>
      <c r="AJ74" s="14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3"/>
      <c r="AF75" s="10" t="str">
        <f aca="true">IF(A75="","",IF(AE75="","Sin probar",IF(TODAY()-AE75&gt;90,"Vencido (&gt;90 días)","OK")))</f>
        <v/>
      </c>
      <c r="AG75" s="13"/>
      <c r="AH75" s="13"/>
      <c r="AI75" s="10" t="str">
        <f aca="true">IF(A75="","",IF(AH75="","Sin dato",IF(AH75&lt;TODAY(),"SIN SOPORTE",IF(AH75-TODAY()&lt;180,"Por vencer","Vigente"))))</f>
        <v/>
      </c>
      <c r="AJ75" s="14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3"/>
      <c r="AF76" s="10" t="str">
        <f aca="true">IF(A76="","",IF(AE76="","Sin probar",IF(TODAY()-AE76&gt;90,"Vencido (&gt;90 días)","OK")))</f>
        <v/>
      </c>
      <c r="AG76" s="13"/>
      <c r="AH76" s="13"/>
      <c r="AI76" s="10" t="str">
        <f aca="true">IF(A76="","",IF(AH76="","Sin dato",IF(AH76&lt;TODAY(),"SIN SOPORTE",IF(AH76-TODAY()&lt;180,"Por vencer","Vigente"))))</f>
        <v/>
      </c>
      <c r="AJ76" s="14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3"/>
      <c r="AF77" s="10" t="str">
        <f aca="true">IF(A77="","",IF(AE77="","Sin probar",IF(TODAY()-AE77&gt;90,"Vencido (&gt;90 días)","OK")))</f>
        <v/>
      </c>
      <c r="AG77" s="13"/>
      <c r="AH77" s="13"/>
      <c r="AI77" s="10" t="str">
        <f aca="true">IF(A77="","",IF(AH77="","Sin dato",IF(AH77&lt;TODAY(),"SIN SOPORTE",IF(AH77-TODAY()&lt;180,"Por vencer","Vigente"))))</f>
        <v/>
      </c>
      <c r="AJ77" s="14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3"/>
      <c r="AF78" s="10" t="str">
        <f aca="true">IF(A78="","",IF(AE78="","Sin probar",IF(TODAY()-AE78&gt;90,"Vencido (&gt;90 días)","OK")))</f>
        <v/>
      </c>
      <c r="AG78" s="13"/>
      <c r="AH78" s="13"/>
      <c r="AI78" s="10" t="str">
        <f aca="true">IF(A78="","",IF(AH78="","Sin dato",IF(AH78&lt;TODAY(),"SIN SOPORTE",IF(AH78-TODAY()&lt;180,"Por vencer","Vigente"))))</f>
        <v/>
      </c>
      <c r="AJ78" s="14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3"/>
      <c r="AF79" s="10" t="str">
        <f aca="true">IF(A79="","",IF(AE79="","Sin probar",IF(TODAY()-AE79&gt;90,"Vencido (&gt;90 días)","OK")))</f>
        <v/>
      </c>
      <c r="AG79" s="13"/>
      <c r="AH79" s="13"/>
      <c r="AI79" s="10" t="str">
        <f aca="true">IF(A79="","",IF(AH79="","Sin dato",IF(AH79&lt;TODAY(),"SIN SOPORTE",IF(AH79-TODAY()&lt;180,"Por vencer","Vigente"))))</f>
        <v/>
      </c>
      <c r="AJ79" s="14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3"/>
      <c r="AF80" s="10" t="str">
        <f aca="true">IF(A80="","",IF(AE80="","Sin probar",IF(TODAY()-AE80&gt;90,"Vencido (&gt;90 días)","OK")))</f>
        <v/>
      </c>
      <c r="AG80" s="13"/>
      <c r="AH80" s="13"/>
      <c r="AI80" s="10" t="str">
        <f aca="true">IF(A80="","",IF(AH80="","Sin dato",IF(AH80&lt;TODAY(),"SIN SOPORTE",IF(AH80-TODAY()&lt;180,"Por vencer","Vigente"))))</f>
        <v/>
      </c>
      <c r="AJ80" s="14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3"/>
      <c r="AF81" s="10" t="str">
        <f aca="true">IF(A81="","",IF(AE81="","Sin probar",IF(TODAY()-AE81&gt;90,"Vencido (&gt;90 días)","OK")))</f>
        <v/>
      </c>
      <c r="AG81" s="13"/>
      <c r="AH81" s="13"/>
      <c r="AI81" s="10" t="str">
        <f aca="true">IF(A81="","",IF(AH81="","Sin dato",IF(AH81&lt;TODAY(),"SIN SOPORTE",IF(AH81-TODAY()&lt;180,"Por vencer","Vigente"))))</f>
        <v/>
      </c>
      <c r="AJ81" s="14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3"/>
      <c r="AF82" s="10" t="str">
        <f aca="true">IF(A82="","",IF(AE82="","Sin probar",IF(TODAY()-AE82&gt;90,"Vencido (&gt;90 días)","OK")))</f>
        <v/>
      </c>
      <c r="AG82" s="13"/>
      <c r="AH82" s="13"/>
      <c r="AI82" s="10" t="str">
        <f aca="true">IF(A82="","",IF(AH82="","Sin dato",IF(AH82&lt;TODAY(),"SIN SOPORTE",IF(AH82-TODAY()&lt;180,"Por vencer","Vigente"))))</f>
        <v/>
      </c>
      <c r="AJ82" s="14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3"/>
      <c r="AF83" s="10" t="str">
        <f aca="true">IF(A83="","",IF(AE83="","Sin probar",IF(TODAY()-AE83&gt;90,"Vencido (&gt;90 días)","OK")))</f>
        <v/>
      </c>
      <c r="AG83" s="13"/>
      <c r="AH83" s="13"/>
      <c r="AI83" s="10" t="str">
        <f aca="true">IF(A83="","",IF(AH83="","Sin dato",IF(AH83&lt;TODAY(),"SIN SOPORTE",IF(AH83-TODAY()&lt;180,"Por vencer","Vigente"))))</f>
        <v/>
      </c>
      <c r="AJ83" s="14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3"/>
      <c r="AF84" s="10" t="str">
        <f aca="true">IF(A84="","",IF(AE84="","Sin probar",IF(TODAY()-AE84&gt;90,"Vencido (&gt;90 días)","OK")))</f>
        <v/>
      </c>
      <c r="AG84" s="13"/>
      <c r="AH84" s="13"/>
      <c r="AI84" s="10" t="str">
        <f aca="true">IF(A84="","",IF(AH84="","Sin dato",IF(AH84&lt;TODAY(),"SIN SOPORTE",IF(AH84-TODAY()&lt;180,"Por vencer","Vigente"))))</f>
        <v/>
      </c>
      <c r="AJ84" s="14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3"/>
      <c r="AF85" s="10" t="str">
        <f aca="true">IF(A85="","",IF(AE85="","Sin probar",IF(TODAY()-AE85&gt;90,"Vencido (&gt;90 días)","OK")))</f>
        <v/>
      </c>
      <c r="AG85" s="13"/>
      <c r="AH85" s="13"/>
      <c r="AI85" s="10" t="str">
        <f aca="true">IF(A85="","",IF(AH85="","Sin dato",IF(AH85&lt;TODAY(),"SIN SOPORTE",IF(AH85-TODAY()&lt;180,"Por vencer","Vigente"))))</f>
        <v/>
      </c>
      <c r="AJ85" s="14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3"/>
      <c r="AF86" s="10" t="str">
        <f aca="true">IF(A86="","",IF(AE86="","Sin probar",IF(TODAY()-AE86&gt;90,"Vencido (&gt;90 días)","OK")))</f>
        <v/>
      </c>
      <c r="AG86" s="13"/>
      <c r="AH86" s="13"/>
      <c r="AI86" s="10" t="str">
        <f aca="true">IF(A86="","",IF(AH86="","Sin dato",IF(AH86&lt;TODAY(),"SIN SOPORTE",IF(AH86-TODAY()&lt;180,"Por vencer","Vigente"))))</f>
        <v/>
      </c>
      <c r="AJ86" s="14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3"/>
      <c r="AF87" s="10" t="str">
        <f aca="true">IF(A87="","",IF(AE87="","Sin probar",IF(TODAY()-AE87&gt;90,"Vencido (&gt;90 días)","OK")))</f>
        <v/>
      </c>
      <c r="AG87" s="13"/>
      <c r="AH87" s="13"/>
      <c r="AI87" s="10" t="str">
        <f aca="true">IF(A87="","",IF(AH87="","Sin dato",IF(AH87&lt;TODAY(),"SIN SOPORTE",IF(AH87-TODAY()&lt;180,"Por vencer","Vigente"))))</f>
        <v/>
      </c>
      <c r="AJ87" s="14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3"/>
      <c r="AF88" s="10" t="str">
        <f aca="true">IF(A88="","",IF(AE88="","Sin probar",IF(TODAY()-AE88&gt;90,"Vencido (&gt;90 días)","OK")))</f>
        <v/>
      </c>
      <c r="AG88" s="13"/>
      <c r="AH88" s="13"/>
      <c r="AI88" s="10" t="str">
        <f aca="true">IF(A88="","",IF(AH88="","Sin dato",IF(AH88&lt;TODAY(),"SIN SOPORTE",IF(AH88-TODAY()&lt;180,"Por vencer","Vigente"))))</f>
        <v/>
      </c>
      <c r="AJ88" s="14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3"/>
      <c r="AF89" s="10" t="str">
        <f aca="true">IF(A89="","",IF(AE89="","Sin probar",IF(TODAY()-AE89&gt;90,"Vencido (&gt;90 días)","OK")))</f>
        <v/>
      </c>
      <c r="AG89" s="13"/>
      <c r="AH89" s="13"/>
      <c r="AI89" s="10" t="str">
        <f aca="true">IF(A89="","",IF(AH89="","Sin dato",IF(AH89&lt;TODAY(),"SIN SOPORTE",IF(AH89-TODAY()&lt;180,"Por vencer","Vigente"))))</f>
        <v/>
      </c>
      <c r="AJ89" s="14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3"/>
      <c r="AF90" s="10" t="str">
        <f aca="true">IF(A90="","",IF(AE90="","Sin probar",IF(TODAY()-AE90&gt;90,"Vencido (&gt;90 días)","OK")))</f>
        <v/>
      </c>
      <c r="AG90" s="13"/>
      <c r="AH90" s="13"/>
      <c r="AI90" s="10" t="str">
        <f aca="true">IF(A90="","",IF(AH90="","Sin dato",IF(AH90&lt;TODAY(),"SIN SOPORTE",IF(AH90-TODAY()&lt;180,"Por vencer","Vigente"))))</f>
        <v/>
      </c>
      <c r="AJ90" s="14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3"/>
      <c r="AF91" s="10" t="str">
        <f aca="true">IF(A91="","",IF(AE91="","Sin probar",IF(TODAY()-AE91&gt;90,"Vencido (&gt;90 días)","OK")))</f>
        <v/>
      </c>
      <c r="AG91" s="13"/>
      <c r="AH91" s="13"/>
      <c r="AI91" s="10" t="str">
        <f aca="true">IF(A91="","",IF(AH91="","Sin dato",IF(AH91&lt;TODAY(),"SIN SOPORTE",IF(AH91-TODAY()&lt;180,"Por vencer","Vigente"))))</f>
        <v/>
      </c>
      <c r="AJ91" s="14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3"/>
      <c r="AF92" s="10" t="str">
        <f aca="true">IF(A92="","",IF(AE92="","Sin probar",IF(TODAY()-AE92&gt;90,"Vencido (&gt;90 días)","OK")))</f>
        <v/>
      </c>
      <c r="AG92" s="13"/>
      <c r="AH92" s="13"/>
      <c r="AI92" s="10" t="str">
        <f aca="true">IF(A92="","",IF(AH92="","Sin dato",IF(AH92&lt;TODAY(),"SIN SOPORTE",IF(AH92-TODAY()&lt;180,"Por vencer","Vigente"))))</f>
        <v/>
      </c>
      <c r="AJ92" s="14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3"/>
      <c r="AF93" s="10" t="str">
        <f aca="true">IF(A93="","",IF(AE93="","Sin probar",IF(TODAY()-AE93&gt;90,"Vencido (&gt;90 días)","OK")))</f>
        <v/>
      </c>
      <c r="AG93" s="13"/>
      <c r="AH93" s="13"/>
      <c r="AI93" s="10" t="str">
        <f aca="true">IF(A93="","",IF(AH93="","Sin dato",IF(AH93&lt;TODAY(),"SIN SOPORTE",IF(AH93-TODAY()&lt;180,"Por vencer","Vigente"))))</f>
        <v/>
      </c>
      <c r="AJ93" s="14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3"/>
      <c r="AF94" s="10" t="str">
        <f aca="true">IF(A94="","",IF(AE94="","Sin probar",IF(TODAY()-AE94&gt;90,"Vencido (&gt;90 días)","OK")))</f>
        <v/>
      </c>
      <c r="AG94" s="13"/>
      <c r="AH94" s="13"/>
      <c r="AI94" s="10" t="str">
        <f aca="true">IF(A94="","",IF(AH94="","Sin dato",IF(AH94&lt;TODAY(),"SIN SOPORTE",IF(AH94-TODAY()&lt;180,"Por vencer","Vigente"))))</f>
        <v/>
      </c>
      <c r="AJ94" s="14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3"/>
      <c r="AF95" s="10" t="str">
        <f aca="true">IF(A95="","",IF(AE95="","Sin probar",IF(TODAY()-AE95&gt;90,"Vencido (&gt;90 días)","OK")))</f>
        <v/>
      </c>
      <c r="AG95" s="13"/>
      <c r="AH95" s="13"/>
      <c r="AI95" s="10" t="str">
        <f aca="true">IF(A95="","",IF(AH95="","Sin dato",IF(AH95&lt;TODAY(),"SIN SOPORTE",IF(AH95-TODAY()&lt;180,"Por vencer","Vigente"))))</f>
        <v/>
      </c>
      <c r="AJ95" s="14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3"/>
      <c r="AF96" s="10" t="str">
        <f aca="true">IF(A96="","",IF(AE96="","Sin probar",IF(TODAY()-AE96&gt;90,"Vencido (&gt;90 días)","OK")))</f>
        <v/>
      </c>
      <c r="AG96" s="13"/>
      <c r="AH96" s="13"/>
      <c r="AI96" s="10" t="str">
        <f aca="true">IF(A96="","",IF(AH96="","Sin dato",IF(AH96&lt;TODAY(),"SIN SOPORTE",IF(AH96-TODAY()&lt;180,"Por vencer","Vigente"))))</f>
        <v/>
      </c>
      <c r="AJ96" s="14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3"/>
      <c r="AF97" s="10" t="str">
        <f aca="true">IF(A97="","",IF(AE97="","Sin probar",IF(TODAY()-AE97&gt;90,"Vencido (&gt;90 días)","OK")))</f>
        <v/>
      </c>
      <c r="AG97" s="13"/>
      <c r="AH97" s="13"/>
      <c r="AI97" s="10" t="str">
        <f aca="true">IF(A97="","",IF(AH97="","Sin dato",IF(AH97&lt;TODAY(),"SIN SOPORTE",IF(AH97-TODAY()&lt;180,"Por vencer","Vigente"))))</f>
        <v/>
      </c>
      <c r="AJ97" s="14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3"/>
      <c r="AF98" s="10" t="str">
        <f aca="true">IF(A98="","",IF(AE98="","Sin probar",IF(TODAY()-AE98&gt;90,"Vencido (&gt;90 días)","OK")))</f>
        <v/>
      </c>
      <c r="AG98" s="13"/>
      <c r="AH98" s="13"/>
      <c r="AI98" s="10" t="str">
        <f aca="true">IF(A98="","",IF(AH98="","Sin dato",IF(AH98&lt;TODAY(),"SIN SOPORTE",IF(AH98-TODAY()&lt;180,"Por vencer","Vigente"))))</f>
        <v/>
      </c>
      <c r="AJ98" s="14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3"/>
      <c r="AF99" s="10" t="str">
        <f aca="true">IF(A99="","",IF(AE99="","Sin probar",IF(TODAY()-AE99&gt;90,"Vencido (&gt;90 días)","OK")))</f>
        <v/>
      </c>
      <c r="AG99" s="13"/>
      <c r="AH99" s="13"/>
      <c r="AI99" s="10" t="str">
        <f aca="true">IF(A99="","",IF(AH99="","Sin dato",IF(AH99&lt;TODAY(),"SIN SOPORTE",IF(AH99-TODAY()&lt;180,"Por vencer","Vigente"))))</f>
        <v/>
      </c>
      <c r="AJ99" s="14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3"/>
      <c r="AF100" s="10" t="str">
        <f aca="true">IF(A100="","",IF(AE100="","Sin probar",IF(TODAY()-AE100&gt;90,"Vencido (&gt;90 días)","OK")))</f>
        <v/>
      </c>
      <c r="AG100" s="13"/>
      <c r="AH100" s="13"/>
      <c r="AI100" s="10" t="str">
        <f aca="true">IF(A100="","",IF(AH100="","Sin dato",IF(AH100&lt;TODAY(),"SIN SOPORTE",IF(AH100-TODAY()&lt;180,"Por vencer","Vigente"))))</f>
        <v/>
      </c>
      <c r="AJ100" s="14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3"/>
      <c r="AF101" s="10" t="str">
        <f aca="true">IF(A101="","",IF(AE101="","Sin probar",IF(TODAY()-AE101&gt;90,"Vencido (&gt;90 días)","OK")))</f>
        <v/>
      </c>
      <c r="AG101" s="13"/>
      <c r="AH101" s="13"/>
      <c r="AI101" s="10" t="str">
        <f aca="true">IF(A101="","",IF(AH101="","Sin dato",IF(AH101&lt;TODAY(),"SIN SOPORTE",IF(AH101-TODAY()&lt;180,"Por vencer","Vigente"))))</f>
        <v/>
      </c>
      <c r="AJ101" s="14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3"/>
      <c r="AF102" s="10" t="str">
        <f aca="true">IF(A102="","",IF(AE102="","Sin probar",IF(TODAY()-AE102&gt;90,"Vencido (&gt;90 días)","OK")))</f>
        <v/>
      </c>
      <c r="AG102" s="13"/>
      <c r="AH102" s="13"/>
      <c r="AI102" s="10" t="str">
        <f aca="true">IF(A102="","",IF(AH102="","Sin dato",IF(AH102&lt;TODAY(),"SIN SOPORTE",IF(AH102-TODAY()&lt;180,"Por vencer","Vigente"))))</f>
        <v/>
      </c>
      <c r="AJ102" s="14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3"/>
      <c r="AF103" s="10" t="str">
        <f aca="true">IF(A103="","",IF(AE103="","Sin probar",IF(TODAY()-AE103&gt;90,"Vencido (&gt;90 días)","OK")))</f>
        <v/>
      </c>
      <c r="AG103" s="13"/>
      <c r="AH103" s="13"/>
      <c r="AI103" s="10" t="str">
        <f aca="true">IF(A103="","",IF(AH103="","Sin dato",IF(AH103&lt;TODAY(),"SIN SOPORTE",IF(AH103-TODAY()&lt;180,"Por vencer","Vigente"))))</f>
        <v/>
      </c>
      <c r="AJ103" s="14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3"/>
      <c r="AF104" s="10" t="str">
        <f aca="true">IF(A104="","",IF(AE104="","Sin probar",IF(TODAY()-AE104&gt;90,"Vencido (&gt;90 días)","OK")))</f>
        <v/>
      </c>
      <c r="AG104" s="13"/>
      <c r="AH104" s="13"/>
      <c r="AI104" s="10" t="str">
        <f aca="true">IF(A104="","",IF(AH104="","Sin dato",IF(AH104&lt;TODAY(),"SIN SOPORTE",IF(AH104-TODAY()&lt;180,"Por vencer","Vigente"))))</f>
        <v/>
      </c>
      <c r="AJ104" s="14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3"/>
      <c r="AF105" s="10" t="str">
        <f aca="true">IF(A105="","",IF(AE105="","Sin probar",IF(TODAY()-AE105&gt;90,"Vencido (&gt;90 días)","OK")))</f>
        <v/>
      </c>
      <c r="AG105" s="13"/>
      <c r="AH105" s="13"/>
      <c r="AI105" s="10" t="str">
        <f aca="true">IF(A105="","",IF(AH105="","Sin dato",IF(AH105&lt;TODAY(),"SIN SOPORTE",IF(AH105-TODAY()&lt;180,"Por vencer","Vigente"))))</f>
        <v/>
      </c>
      <c r="AJ105" s="14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3"/>
      <c r="AF106" s="10" t="str">
        <f aca="true">IF(A106="","",IF(AE106="","Sin probar",IF(TODAY()-AE106&gt;90,"Vencido (&gt;90 días)","OK")))</f>
        <v/>
      </c>
      <c r="AG106" s="13"/>
      <c r="AH106" s="13"/>
      <c r="AI106" s="10" t="str">
        <f aca="true">IF(A106="","",IF(AH106="","Sin dato",IF(AH106&lt;TODAY(),"SIN SOPORTE",IF(AH106-TODAY()&lt;180,"Por vencer","Vigente"))))</f>
        <v/>
      </c>
      <c r="AJ106" s="14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3"/>
      <c r="AF107" s="10" t="str">
        <f aca="true">IF(A107="","",IF(AE107="","Sin probar",IF(TODAY()-AE107&gt;90,"Vencido (&gt;90 días)","OK")))</f>
        <v/>
      </c>
      <c r="AG107" s="13"/>
      <c r="AH107" s="13"/>
      <c r="AI107" s="10" t="str">
        <f aca="true">IF(A107="","",IF(AH107="","Sin dato",IF(AH107&lt;TODAY(),"SIN SOPORTE",IF(AH107-TODAY()&lt;180,"Por vencer","Vigente"))))</f>
        <v/>
      </c>
      <c r="AJ107" s="14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3"/>
      <c r="AF108" s="10" t="str">
        <f aca="true">IF(A108="","",IF(AE108="","Sin probar",IF(TODAY()-AE108&gt;90,"Vencido (&gt;90 días)","OK")))</f>
        <v/>
      </c>
      <c r="AG108" s="13"/>
      <c r="AH108" s="13"/>
      <c r="AI108" s="10" t="str">
        <f aca="true">IF(A108="","",IF(AH108="","Sin dato",IF(AH108&lt;TODAY(),"SIN SOPORTE",IF(AH108-TODAY()&lt;180,"Por vencer","Vigente"))))</f>
        <v/>
      </c>
      <c r="AJ108" s="14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3"/>
      <c r="AF109" s="10" t="str">
        <f aca="true">IF(A109="","",IF(AE109="","Sin probar",IF(TODAY()-AE109&gt;90,"Vencido (&gt;90 días)","OK")))</f>
        <v/>
      </c>
      <c r="AG109" s="13"/>
      <c r="AH109" s="13"/>
      <c r="AI109" s="10" t="str">
        <f aca="true">IF(A109="","",IF(AH109="","Sin dato",IF(AH109&lt;TODAY(),"SIN SOPORTE",IF(AH109-TODAY()&lt;180,"Por vencer","Vigente"))))</f>
        <v/>
      </c>
      <c r="AJ109" s="14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3"/>
      <c r="AF110" s="10" t="str">
        <f aca="true">IF(A110="","",IF(AE110="","Sin probar",IF(TODAY()-AE110&gt;90,"Vencido (&gt;90 días)","OK")))</f>
        <v/>
      </c>
      <c r="AG110" s="13"/>
      <c r="AH110" s="13"/>
      <c r="AI110" s="10" t="str">
        <f aca="true">IF(A110="","",IF(AH110="","Sin dato",IF(AH110&lt;TODAY(),"SIN SOPORTE",IF(AH110-TODAY()&lt;180,"Por vencer","Vigente"))))</f>
        <v/>
      </c>
      <c r="AJ110" s="14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3"/>
      <c r="AF111" s="10" t="str">
        <f aca="true">IF(A111="","",IF(AE111="","Sin probar",IF(TODAY()-AE111&gt;90,"Vencido (&gt;90 días)","OK")))</f>
        <v/>
      </c>
      <c r="AG111" s="13"/>
      <c r="AH111" s="13"/>
      <c r="AI111" s="10" t="str">
        <f aca="true">IF(A111="","",IF(AH111="","Sin dato",IF(AH111&lt;TODAY(),"SIN SOPORTE",IF(AH111-TODAY()&lt;180,"Por vencer","Vigente"))))</f>
        <v/>
      </c>
      <c r="AJ111" s="14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3"/>
      <c r="AF112" s="10" t="str">
        <f aca="true">IF(A112="","",IF(AE112="","Sin probar",IF(TODAY()-AE112&gt;90,"Vencido (&gt;90 días)","OK")))</f>
        <v/>
      </c>
      <c r="AG112" s="13"/>
      <c r="AH112" s="13"/>
      <c r="AI112" s="10" t="str">
        <f aca="true">IF(A112="","",IF(AH112="","Sin dato",IF(AH112&lt;TODAY(),"SIN SOPORTE",IF(AH112-TODAY()&lt;180,"Por vencer","Vigente"))))</f>
        <v/>
      </c>
      <c r="AJ112" s="14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3"/>
      <c r="AF113" s="10" t="str">
        <f aca="true">IF(A113="","",IF(AE113="","Sin probar",IF(TODAY()-AE113&gt;90,"Vencido (&gt;90 días)","OK")))</f>
        <v/>
      </c>
      <c r="AG113" s="13"/>
      <c r="AH113" s="13"/>
      <c r="AI113" s="10" t="str">
        <f aca="true">IF(A113="","",IF(AH113="","Sin dato",IF(AH113&lt;TODAY(),"SIN SOPORTE",IF(AH113-TODAY()&lt;180,"Por vencer","Vigente"))))</f>
        <v/>
      </c>
      <c r="AJ113" s="14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3"/>
      <c r="AF114" s="10" t="str">
        <f aca="true">IF(A114="","",IF(AE114="","Sin probar",IF(TODAY()-AE114&gt;90,"Vencido (&gt;90 días)","OK")))</f>
        <v/>
      </c>
      <c r="AG114" s="13"/>
      <c r="AH114" s="13"/>
      <c r="AI114" s="10" t="str">
        <f aca="true">IF(A114="","",IF(AH114="","Sin dato",IF(AH114&lt;TODAY(),"SIN SOPORTE",IF(AH114-TODAY()&lt;180,"Por vencer","Vigente"))))</f>
        <v/>
      </c>
      <c r="AJ114" s="14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3"/>
      <c r="AF115" s="10" t="str">
        <f aca="true">IF(A115="","",IF(AE115="","Sin probar",IF(TODAY()-AE115&gt;90,"Vencido (&gt;90 días)","OK")))</f>
        <v/>
      </c>
      <c r="AG115" s="13"/>
      <c r="AH115" s="13"/>
      <c r="AI115" s="10" t="str">
        <f aca="true">IF(A115="","",IF(AH115="","Sin dato",IF(AH115&lt;TODAY(),"SIN SOPORTE",IF(AH115-TODAY()&lt;180,"Por vencer","Vigente"))))</f>
        <v/>
      </c>
      <c r="AJ115" s="14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3"/>
      <c r="AF116" s="10" t="str">
        <f aca="true">IF(A116="","",IF(AE116="","Sin probar",IF(TODAY()-AE116&gt;90,"Vencido (&gt;90 días)","OK")))</f>
        <v/>
      </c>
      <c r="AG116" s="13"/>
      <c r="AH116" s="13"/>
      <c r="AI116" s="10" t="str">
        <f aca="true">IF(A116="","",IF(AH116="","Sin dato",IF(AH116&lt;TODAY(),"SIN SOPORTE",IF(AH116-TODAY()&lt;180,"Por vencer","Vigente"))))</f>
        <v/>
      </c>
      <c r="AJ116" s="14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3"/>
      <c r="AF117" s="10" t="str">
        <f aca="true">IF(A117="","",IF(AE117="","Sin probar",IF(TODAY()-AE117&gt;90,"Vencido (&gt;90 días)","OK")))</f>
        <v/>
      </c>
      <c r="AG117" s="13"/>
      <c r="AH117" s="13"/>
      <c r="AI117" s="10" t="str">
        <f aca="true">IF(A117="","",IF(AH117="","Sin dato",IF(AH117&lt;TODAY(),"SIN SOPORTE",IF(AH117-TODAY()&lt;180,"Por vencer","Vigente"))))</f>
        <v/>
      </c>
      <c r="AJ117" s="14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3"/>
      <c r="AF118" s="10" t="str">
        <f aca="true">IF(A118="","",IF(AE118="","Sin probar",IF(TODAY()-AE118&gt;90,"Vencido (&gt;90 días)","OK")))</f>
        <v/>
      </c>
      <c r="AG118" s="13"/>
      <c r="AH118" s="13"/>
      <c r="AI118" s="10" t="str">
        <f aca="true">IF(A118="","",IF(AH118="","Sin dato",IF(AH118&lt;TODAY(),"SIN SOPORTE",IF(AH118-TODAY()&lt;180,"Por vencer","Vigente"))))</f>
        <v/>
      </c>
      <c r="AJ118" s="14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3"/>
      <c r="AF119" s="10" t="str">
        <f aca="true">IF(A119="","",IF(AE119="","Sin probar",IF(TODAY()-AE119&gt;90,"Vencido (&gt;90 días)","OK")))</f>
        <v/>
      </c>
      <c r="AG119" s="13"/>
      <c r="AH119" s="13"/>
      <c r="AI119" s="10" t="str">
        <f aca="true">IF(A119="","",IF(AH119="","Sin dato",IF(AH119&lt;TODAY(),"SIN SOPORTE",IF(AH119-TODAY()&lt;180,"Por vencer","Vigente"))))</f>
        <v/>
      </c>
      <c r="AJ119" s="14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3"/>
      <c r="AF120" s="10" t="str">
        <f aca="true">IF(A120="","",IF(AE120="","Sin probar",IF(TODAY()-AE120&gt;90,"Vencido (&gt;90 días)","OK")))</f>
        <v/>
      </c>
      <c r="AG120" s="13"/>
      <c r="AH120" s="13"/>
      <c r="AI120" s="10" t="str">
        <f aca="true">IF(A120="","",IF(AH120="","Sin dato",IF(AH120&lt;TODAY(),"SIN SOPORTE",IF(AH120-TODAY()&lt;180,"Por vencer","Vigente"))))</f>
        <v/>
      </c>
      <c r="AJ120" s="14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3"/>
      <c r="AF121" s="10" t="str">
        <f aca="true">IF(A121="","",IF(AE121="","Sin probar",IF(TODAY()-AE121&gt;90,"Vencido (&gt;90 días)","OK")))</f>
        <v/>
      </c>
      <c r="AG121" s="13"/>
      <c r="AH121" s="13"/>
      <c r="AI121" s="10" t="str">
        <f aca="true">IF(A121="","",IF(AH121="","Sin dato",IF(AH121&lt;TODAY(),"SIN SOPORTE",IF(AH121-TODAY()&lt;180,"Por vencer","Vigente"))))</f>
        <v/>
      </c>
      <c r="AJ121" s="14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3"/>
      <c r="AF122" s="10" t="str">
        <f aca="true">IF(A122="","",IF(AE122="","Sin probar",IF(TODAY()-AE122&gt;90,"Vencido (&gt;90 días)","OK")))</f>
        <v/>
      </c>
      <c r="AG122" s="13"/>
      <c r="AH122" s="13"/>
      <c r="AI122" s="10" t="str">
        <f aca="true">IF(A122="","",IF(AH122="","Sin dato",IF(AH122&lt;TODAY(),"SIN SOPORTE",IF(AH122-TODAY()&lt;180,"Por vencer","Vigente"))))</f>
        <v/>
      </c>
      <c r="AJ122" s="14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3"/>
      <c r="AF123" s="10" t="str">
        <f aca="true">IF(A123="","",IF(AE123="","Sin probar",IF(TODAY()-AE123&gt;90,"Vencido (&gt;90 días)","OK")))</f>
        <v/>
      </c>
      <c r="AG123" s="13"/>
      <c r="AH123" s="13"/>
      <c r="AI123" s="10" t="str">
        <f aca="true">IF(A123="","",IF(AH123="","Sin dato",IF(AH123&lt;TODAY(),"SIN SOPORTE",IF(AH123-TODAY()&lt;180,"Por vencer","Vigente"))))</f>
        <v/>
      </c>
      <c r="AJ123" s="14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3"/>
      <c r="AF124" s="10" t="str">
        <f aca="true">IF(A124="","",IF(AE124="","Sin probar",IF(TODAY()-AE124&gt;90,"Vencido (&gt;90 días)","OK")))</f>
        <v/>
      </c>
      <c r="AG124" s="13"/>
      <c r="AH124" s="13"/>
      <c r="AI124" s="10" t="str">
        <f aca="true">IF(A124="","",IF(AH124="","Sin dato",IF(AH124&lt;TODAY(),"SIN SOPORTE",IF(AH124-TODAY()&lt;180,"Por vencer","Vigente"))))</f>
        <v/>
      </c>
      <c r="AJ124" s="14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3"/>
      <c r="AF125" s="10" t="str">
        <f aca="true">IF(A125="","",IF(AE125="","Sin probar",IF(TODAY()-AE125&gt;90,"Vencido (&gt;90 días)","OK")))</f>
        <v/>
      </c>
      <c r="AG125" s="13"/>
      <c r="AH125" s="13"/>
      <c r="AI125" s="10" t="str">
        <f aca="true">IF(A125="","",IF(AH125="","Sin dato",IF(AH125&lt;TODAY(),"SIN SOPORTE",IF(AH125-TODAY()&lt;180,"Por vencer","Vigente"))))</f>
        <v/>
      </c>
      <c r="AJ125" s="14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3"/>
      <c r="AF126" s="10" t="str">
        <f aca="true">IF(A126="","",IF(AE126="","Sin probar",IF(TODAY()-AE126&gt;90,"Vencido (&gt;90 días)","OK")))</f>
        <v/>
      </c>
      <c r="AG126" s="13"/>
      <c r="AH126" s="13"/>
      <c r="AI126" s="10" t="str">
        <f aca="true">IF(A126="","",IF(AH126="","Sin dato",IF(AH126&lt;TODAY(),"SIN SOPORTE",IF(AH126-TODAY()&lt;180,"Por vencer","Vigente"))))</f>
        <v/>
      </c>
      <c r="AJ126" s="14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3"/>
      <c r="AF127" s="10" t="str">
        <f aca="true">IF(A127="","",IF(AE127="","Sin probar",IF(TODAY()-AE127&gt;90,"Vencido (&gt;90 días)","OK")))</f>
        <v/>
      </c>
      <c r="AG127" s="13"/>
      <c r="AH127" s="13"/>
      <c r="AI127" s="10" t="str">
        <f aca="true">IF(A127="","",IF(AH127="","Sin dato",IF(AH127&lt;TODAY(),"SIN SOPORTE",IF(AH127-TODAY()&lt;180,"Por vencer","Vigente"))))</f>
        <v/>
      </c>
      <c r="AJ127" s="14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3"/>
      <c r="AF128" s="10" t="str">
        <f aca="true">IF(A128="","",IF(AE128="","Sin probar",IF(TODAY()-AE128&gt;90,"Vencido (&gt;90 días)","OK")))</f>
        <v/>
      </c>
      <c r="AG128" s="13"/>
      <c r="AH128" s="13"/>
      <c r="AI128" s="10" t="str">
        <f aca="true">IF(A128="","",IF(AH128="","Sin dato",IF(AH128&lt;TODAY(),"SIN SOPORTE",IF(AH128-TODAY()&lt;180,"Por vencer","Vigente"))))</f>
        <v/>
      </c>
      <c r="AJ128" s="14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3"/>
      <c r="AF129" s="10" t="str">
        <f aca="true">IF(A129="","",IF(AE129="","Sin probar",IF(TODAY()-AE129&gt;90,"Vencido (&gt;90 días)","OK")))</f>
        <v/>
      </c>
      <c r="AG129" s="13"/>
      <c r="AH129" s="13"/>
      <c r="AI129" s="10" t="str">
        <f aca="true">IF(A129="","",IF(AH129="","Sin dato",IF(AH129&lt;TODAY(),"SIN SOPORTE",IF(AH129-TODAY()&lt;180,"Por vencer","Vigente"))))</f>
        <v/>
      </c>
      <c r="AJ129" s="14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3"/>
      <c r="AF130" s="10" t="str">
        <f aca="true">IF(A130="","",IF(AE130="","Sin probar",IF(TODAY()-AE130&gt;90,"Vencido (&gt;90 días)","OK")))</f>
        <v/>
      </c>
      <c r="AG130" s="13"/>
      <c r="AH130" s="13"/>
      <c r="AI130" s="10" t="str">
        <f aca="true">IF(A130="","",IF(AH130="","Sin dato",IF(AH130&lt;TODAY(),"SIN SOPORTE",IF(AH130-TODAY()&lt;180,"Por vencer","Vigente"))))</f>
        <v/>
      </c>
      <c r="AJ130" s="14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3"/>
      <c r="AF131" s="10" t="str">
        <f aca="true">IF(A131="","",IF(AE131="","Sin probar",IF(TODAY()-AE131&gt;90,"Vencido (&gt;90 días)","OK")))</f>
        <v/>
      </c>
      <c r="AG131" s="13"/>
      <c r="AH131" s="13"/>
      <c r="AI131" s="10" t="str">
        <f aca="true">IF(A131="","",IF(AH131="","Sin dato",IF(AH131&lt;TODAY(),"SIN SOPORTE",IF(AH131-TODAY()&lt;180,"Por vencer","Vigente"))))</f>
        <v/>
      </c>
      <c r="AJ131" s="14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3"/>
      <c r="AF132" s="10" t="str">
        <f aca="true">IF(A132="","",IF(AE132="","Sin probar",IF(TODAY()-AE132&gt;90,"Vencido (&gt;90 días)","OK")))</f>
        <v/>
      </c>
      <c r="AG132" s="13"/>
      <c r="AH132" s="13"/>
      <c r="AI132" s="10" t="str">
        <f aca="true">IF(A132="","",IF(AH132="","Sin dato",IF(AH132&lt;TODAY(),"SIN SOPORTE",IF(AH132-TODAY()&lt;180,"Por vencer","Vigente"))))</f>
        <v/>
      </c>
      <c r="AJ132" s="14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3"/>
      <c r="AF133" s="10" t="str">
        <f aca="true">IF(A133="","",IF(AE133="","Sin probar",IF(TODAY()-AE133&gt;90,"Vencido (&gt;90 días)","OK")))</f>
        <v/>
      </c>
      <c r="AG133" s="13"/>
      <c r="AH133" s="13"/>
      <c r="AI133" s="10" t="str">
        <f aca="true">IF(A133="","",IF(AH133="","Sin dato",IF(AH133&lt;TODAY(),"SIN SOPORTE",IF(AH133-TODAY()&lt;180,"Por vencer","Vigente"))))</f>
        <v/>
      </c>
      <c r="AJ133" s="14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3"/>
      <c r="AF134" s="10" t="str">
        <f aca="true">IF(A134="","",IF(AE134="","Sin probar",IF(TODAY()-AE134&gt;90,"Vencido (&gt;90 días)","OK")))</f>
        <v/>
      </c>
      <c r="AG134" s="13"/>
      <c r="AH134" s="13"/>
      <c r="AI134" s="10" t="str">
        <f aca="true">IF(A134="","",IF(AH134="","Sin dato",IF(AH134&lt;TODAY(),"SIN SOPORTE",IF(AH134-TODAY()&lt;180,"Por vencer","Vigente"))))</f>
        <v/>
      </c>
      <c r="AJ134" s="14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3"/>
      <c r="AF135" s="10" t="str">
        <f aca="true">IF(A135="","",IF(AE135="","Sin probar",IF(TODAY()-AE135&gt;90,"Vencido (&gt;90 días)","OK")))</f>
        <v/>
      </c>
      <c r="AG135" s="13"/>
      <c r="AH135" s="13"/>
      <c r="AI135" s="10" t="str">
        <f aca="true">IF(A135="","",IF(AH135="","Sin dato",IF(AH135&lt;TODAY(),"SIN SOPORTE",IF(AH135-TODAY()&lt;180,"Por vencer","Vigente"))))</f>
        <v/>
      </c>
      <c r="AJ135" s="14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3"/>
      <c r="AF136" s="10" t="str">
        <f aca="true">IF(A136="","",IF(AE136="","Sin probar",IF(TODAY()-AE136&gt;90,"Vencido (&gt;90 días)","OK")))</f>
        <v/>
      </c>
      <c r="AG136" s="13"/>
      <c r="AH136" s="13"/>
      <c r="AI136" s="10" t="str">
        <f aca="true">IF(A136="","",IF(AH136="","Sin dato",IF(AH136&lt;TODAY(),"SIN SOPORTE",IF(AH136-TODAY()&lt;180,"Por vencer","Vigente"))))</f>
        <v/>
      </c>
      <c r="AJ136" s="14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3"/>
      <c r="AF137" s="10" t="str">
        <f aca="true">IF(A137="","",IF(AE137="","Sin probar",IF(TODAY()-AE137&gt;90,"Vencido (&gt;90 días)","OK")))</f>
        <v/>
      </c>
      <c r="AG137" s="13"/>
      <c r="AH137" s="13"/>
      <c r="AI137" s="10" t="str">
        <f aca="true">IF(A137="","",IF(AH137="","Sin dato",IF(AH137&lt;TODAY(),"SIN SOPORTE",IF(AH137-TODAY()&lt;180,"Por vencer","Vigente"))))</f>
        <v/>
      </c>
      <c r="AJ137" s="14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3"/>
      <c r="AF138" s="10" t="str">
        <f aca="true">IF(A138="","",IF(AE138="","Sin probar",IF(TODAY()-AE138&gt;90,"Vencido (&gt;90 días)","OK")))</f>
        <v/>
      </c>
      <c r="AG138" s="13"/>
      <c r="AH138" s="13"/>
      <c r="AI138" s="10" t="str">
        <f aca="true">IF(A138="","",IF(AH138="","Sin dato",IF(AH138&lt;TODAY(),"SIN SOPORTE",IF(AH138-TODAY()&lt;180,"Por vencer","Vigente"))))</f>
        <v/>
      </c>
      <c r="AJ138" s="14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3"/>
      <c r="AF139" s="10" t="str">
        <f aca="true">IF(A139="","",IF(AE139="","Sin probar",IF(TODAY()-AE139&gt;90,"Vencido (&gt;90 días)","OK")))</f>
        <v/>
      </c>
      <c r="AG139" s="13"/>
      <c r="AH139" s="13"/>
      <c r="AI139" s="10" t="str">
        <f aca="true">IF(A139="","",IF(AH139="","Sin dato",IF(AH139&lt;TODAY(),"SIN SOPORTE",IF(AH139-TODAY()&lt;180,"Por vencer","Vigente"))))</f>
        <v/>
      </c>
      <c r="AJ139" s="14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3"/>
      <c r="AF140" s="10" t="str">
        <f aca="true">IF(A140="","",IF(AE140="","Sin probar",IF(TODAY()-AE140&gt;90,"Vencido (&gt;90 días)","OK")))</f>
        <v/>
      </c>
      <c r="AG140" s="13"/>
      <c r="AH140" s="13"/>
      <c r="AI140" s="10" t="str">
        <f aca="true">IF(A140="","",IF(AH140="","Sin dato",IF(AH140&lt;TODAY(),"SIN SOPORTE",IF(AH140-TODAY()&lt;180,"Por vencer","Vigente"))))</f>
        <v/>
      </c>
      <c r="AJ140" s="14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3"/>
      <c r="AF141" s="10" t="str">
        <f aca="true">IF(A141="","",IF(AE141="","Sin probar",IF(TODAY()-AE141&gt;90,"Vencido (&gt;90 días)","OK")))</f>
        <v/>
      </c>
      <c r="AG141" s="13"/>
      <c r="AH141" s="13"/>
      <c r="AI141" s="10" t="str">
        <f aca="true">IF(A141="","",IF(AH141="","Sin dato",IF(AH141&lt;TODAY(),"SIN SOPORTE",IF(AH141-TODAY()&lt;180,"Por vencer","Vigente"))))</f>
        <v/>
      </c>
      <c r="AJ141" s="14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3"/>
      <c r="AF142" s="10" t="str">
        <f aca="true">IF(A142="","",IF(AE142="","Sin probar",IF(TODAY()-AE142&gt;90,"Vencido (&gt;90 días)","OK")))</f>
        <v/>
      </c>
      <c r="AG142" s="13"/>
      <c r="AH142" s="13"/>
      <c r="AI142" s="10" t="str">
        <f aca="true">IF(A142="","",IF(AH142="","Sin dato",IF(AH142&lt;TODAY(),"SIN SOPORTE",IF(AH142-TODAY()&lt;180,"Por vencer","Vigente"))))</f>
        <v/>
      </c>
      <c r="AJ142" s="14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3"/>
      <c r="AF143" s="10" t="str">
        <f aca="true">IF(A143="","",IF(AE143="","Sin probar",IF(TODAY()-AE143&gt;90,"Vencido (&gt;90 días)","OK")))</f>
        <v/>
      </c>
      <c r="AG143" s="13"/>
      <c r="AH143" s="13"/>
      <c r="AI143" s="10" t="str">
        <f aca="true">IF(A143="","",IF(AH143="","Sin dato",IF(AH143&lt;TODAY(),"SIN SOPORTE",IF(AH143-TODAY()&lt;180,"Por vencer","Vigente"))))</f>
        <v/>
      </c>
      <c r="AJ143" s="14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3"/>
      <c r="AF144" s="10" t="str">
        <f aca="true">IF(A144="","",IF(AE144="","Sin probar",IF(TODAY()-AE144&gt;90,"Vencido (&gt;90 días)","OK")))</f>
        <v/>
      </c>
      <c r="AG144" s="13"/>
      <c r="AH144" s="13"/>
      <c r="AI144" s="10" t="str">
        <f aca="true">IF(A144="","",IF(AH144="","Sin dato",IF(AH144&lt;TODAY(),"SIN SOPORTE",IF(AH144-TODAY()&lt;180,"Por vencer","Vigente"))))</f>
        <v/>
      </c>
      <c r="AJ144" s="14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3"/>
      <c r="AF145" s="10" t="str">
        <f aca="true">IF(A145="","",IF(AE145="","Sin probar",IF(TODAY()-AE145&gt;90,"Vencido (&gt;90 días)","OK")))</f>
        <v/>
      </c>
      <c r="AG145" s="13"/>
      <c r="AH145" s="13"/>
      <c r="AI145" s="10" t="str">
        <f aca="true">IF(A145="","",IF(AH145="","Sin dato",IF(AH145&lt;TODAY(),"SIN SOPORTE",IF(AH145-TODAY()&lt;180,"Por vencer","Vigente"))))</f>
        <v/>
      </c>
      <c r="AJ145" s="14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3"/>
      <c r="AF146" s="10" t="str">
        <f aca="true">IF(A146="","",IF(AE146="","Sin probar",IF(TODAY()-AE146&gt;90,"Vencido (&gt;90 días)","OK")))</f>
        <v/>
      </c>
      <c r="AG146" s="13"/>
      <c r="AH146" s="13"/>
      <c r="AI146" s="10" t="str">
        <f aca="true">IF(A146="","",IF(AH146="","Sin dato",IF(AH146&lt;TODAY(),"SIN SOPORTE",IF(AH146-TODAY()&lt;180,"Por vencer","Vigente"))))</f>
        <v/>
      </c>
      <c r="AJ146" s="14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3"/>
      <c r="AF147" s="10" t="str">
        <f aca="true">IF(A147="","",IF(AE147="","Sin probar",IF(TODAY()-AE147&gt;90,"Vencido (&gt;90 días)","OK")))</f>
        <v/>
      </c>
      <c r="AG147" s="13"/>
      <c r="AH147" s="13"/>
      <c r="AI147" s="10" t="str">
        <f aca="true">IF(A147="","",IF(AH147="","Sin dato",IF(AH147&lt;TODAY(),"SIN SOPORTE",IF(AH147-TODAY()&lt;180,"Por vencer","Vigente"))))</f>
        <v/>
      </c>
      <c r="AJ147" s="14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3"/>
      <c r="AF148" s="10" t="str">
        <f aca="true">IF(A148="","",IF(AE148="","Sin probar",IF(TODAY()-AE148&gt;90,"Vencido (&gt;90 días)","OK")))</f>
        <v/>
      </c>
      <c r="AG148" s="13"/>
      <c r="AH148" s="13"/>
      <c r="AI148" s="10" t="str">
        <f aca="true">IF(A148="","",IF(AH148="","Sin dato",IF(AH148&lt;TODAY(),"SIN SOPORTE",IF(AH148-TODAY()&lt;180,"Por vencer","Vigente"))))</f>
        <v/>
      </c>
      <c r="AJ148" s="14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3"/>
      <c r="AF149" s="10" t="str">
        <f aca="true">IF(A149="","",IF(AE149="","Sin probar",IF(TODAY()-AE149&gt;90,"Vencido (&gt;90 días)","OK")))</f>
        <v/>
      </c>
      <c r="AG149" s="13"/>
      <c r="AH149" s="13"/>
      <c r="AI149" s="10" t="str">
        <f aca="true">IF(A149="","",IF(AH149="","Sin dato",IF(AH149&lt;TODAY(),"SIN SOPORTE",IF(AH149-TODAY()&lt;180,"Por vencer","Vigente"))))</f>
        <v/>
      </c>
      <c r="AJ149" s="14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3"/>
      <c r="AF150" s="10" t="str">
        <f aca="true">IF(A150="","",IF(AE150="","Sin probar",IF(TODAY()-AE150&gt;90,"Vencido (&gt;90 días)","OK")))</f>
        <v/>
      </c>
      <c r="AG150" s="13"/>
      <c r="AH150" s="13"/>
      <c r="AI150" s="10" t="str">
        <f aca="true">IF(A150="","",IF(AH150="","Sin dato",IF(AH150&lt;TODAY(),"SIN SOPORTE",IF(AH150-TODAY()&lt;180,"Por vencer","Vigente"))))</f>
        <v/>
      </c>
      <c r="AJ150" s="14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3"/>
      <c r="AF151" s="10" t="str">
        <f aca="true">IF(A151="","",IF(AE151="","Sin probar",IF(TODAY()-AE151&gt;90,"Vencido (&gt;90 días)","OK")))</f>
        <v/>
      </c>
      <c r="AG151" s="13"/>
      <c r="AH151" s="13"/>
      <c r="AI151" s="10" t="str">
        <f aca="true">IF(A151="","",IF(AH151="","Sin dato",IF(AH151&lt;TODAY(),"SIN SOPORTE",IF(AH151-TODAY()&lt;180,"Por vencer","Vigente"))))</f>
        <v/>
      </c>
      <c r="AJ151" s="14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3"/>
      <c r="AF152" s="10" t="str">
        <f aca="true">IF(A152="","",IF(AE152="","Sin probar",IF(TODAY()-AE152&gt;90,"Vencido (&gt;90 días)","OK")))</f>
        <v/>
      </c>
      <c r="AG152" s="13"/>
      <c r="AH152" s="13"/>
      <c r="AI152" s="10" t="str">
        <f aca="true">IF(A152="","",IF(AH152="","Sin dato",IF(AH152&lt;TODAY(),"SIN SOPORTE",IF(AH152-TODAY()&lt;180,"Por vencer","Vigente"))))</f>
        <v/>
      </c>
      <c r="AJ152" s="14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3"/>
      <c r="AF153" s="10" t="str">
        <f aca="true">IF(A153="","",IF(AE153="","Sin probar",IF(TODAY()-AE153&gt;90,"Vencido (&gt;90 días)","OK")))</f>
        <v/>
      </c>
      <c r="AG153" s="13"/>
      <c r="AH153" s="13"/>
      <c r="AI153" s="10" t="str">
        <f aca="true">IF(A153="","",IF(AH153="","Sin dato",IF(AH153&lt;TODAY(),"SIN SOPORTE",IF(AH153-TODAY()&lt;180,"Por vencer","Vigente"))))</f>
        <v/>
      </c>
      <c r="AJ153" s="14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3"/>
      <c r="AF154" s="10" t="str">
        <f aca="true">IF(A154="","",IF(AE154="","Sin probar",IF(TODAY()-AE154&gt;90,"Vencido (&gt;90 días)","OK")))</f>
        <v/>
      </c>
      <c r="AG154" s="13"/>
      <c r="AH154" s="13"/>
      <c r="AI154" s="10" t="str">
        <f aca="true">IF(A154="","",IF(AH154="","Sin dato",IF(AH154&lt;TODAY(),"SIN SOPORTE",IF(AH154-TODAY()&lt;180,"Por vencer","Vigente"))))</f>
        <v/>
      </c>
      <c r="AJ154" s="14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3"/>
      <c r="AF155" s="10" t="str">
        <f aca="true">IF(A155="","",IF(AE155="","Sin probar",IF(TODAY()-AE155&gt;90,"Vencido (&gt;90 días)","OK")))</f>
        <v/>
      </c>
      <c r="AG155" s="13"/>
      <c r="AH155" s="13"/>
      <c r="AI155" s="10" t="str">
        <f aca="true">IF(A155="","",IF(AH155="","Sin dato",IF(AH155&lt;TODAY(),"SIN SOPORTE",IF(AH155-TODAY()&lt;180,"Por vencer","Vigente"))))</f>
        <v/>
      </c>
      <c r="AJ155" s="14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3"/>
      <c r="AF156" s="10" t="str">
        <f aca="true">IF(A156="","",IF(AE156="","Sin probar",IF(TODAY()-AE156&gt;90,"Vencido (&gt;90 días)","OK")))</f>
        <v/>
      </c>
      <c r="AG156" s="13"/>
      <c r="AH156" s="13"/>
      <c r="AI156" s="10" t="str">
        <f aca="true">IF(A156="","",IF(AH156="","Sin dato",IF(AH156&lt;TODAY(),"SIN SOPORTE",IF(AH156-TODAY()&lt;180,"Por vencer","Vigente"))))</f>
        <v/>
      </c>
      <c r="AJ156" s="14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3"/>
      <c r="AF157" s="10" t="str">
        <f aca="true">IF(A157="","",IF(AE157="","Sin probar",IF(TODAY()-AE157&gt;90,"Vencido (&gt;90 días)","OK")))</f>
        <v/>
      </c>
      <c r="AG157" s="13"/>
      <c r="AH157" s="13"/>
      <c r="AI157" s="10" t="str">
        <f aca="true">IF(A157="","",IF(AH157="","Sin dato",IF(AH157&lt;TODAY(),"SIN SOPORTE",IF(AH157-TODAY()&lt;180,"Por vencer","Vigente"))))</f>
        <v/>
      </c>
      <c r="AJ157" s="14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3"/>
      <c r="AF158" s="10" t="str">
        <f aca="true">IF(A158="","",IF(AE158="","Sin probar",IF(TODAY()-AE158&gt;90,"Vencido (&gt;90 días)","OK")))</f>
        <v/>
      </c>
      <c r="AG158" s="13"/>
      <c r="AH158" s="13"/>
      <c r="AI158" s="10" t="str">
        <f aca="true">IF(A158="","",IF(AH158="","Sin dato",IF(AH158&lt;TODAY(),"SIN SOPORTE",IF(AH158-TODAY()&lt;180,"Por vencer","Vigente"))))</f>
        <v/>
      </c>
      <c r="AJ158" s="14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3"/>
      <c r="AF159" s="10" t="str">
        <f aca="true">IF(A159="","",IF(AE159="","Sin probar",IF(TODAY()-AE159&gt;90,"Vencido (&gt;90 días)","OK")))</f>
        <v/>
      </c>
      <c r="AG159" s="13"/>
      <c r="AH159" s="13"/>
      <c r="AI159" s="10" t="str">
        <f aca="true">IF(A159="","",IF(AH159="","Sin dato",IF(AH159&lt;TODAY(),"SIN SOPORTE",IF(AH159-TODAY()&lt;180,"Por vencer","Vigente"))))</f>
        <v/>
      </c>
      <c r="AJ159" s="14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3"/>
      <c r="AF160" s="10" t="str">
        <f aca="true">IF(A160="","",IF(AE160="","Sin probar",IF(TODAY()-AE160&gt;90,"Vencido (&gt;90 días)","OK")))</f>
        <v/>
      </c>
      <c r="AG160" s="13"/>
      <c r="AH160" s="13"/>
      <c r="AI160" s="10" t="str">
        <f aca="true">IF(A160="","",IF(AH160="","Sin dato",IF(AH160&lt;TODAY(),"SIN SOPORTE",IF(AH160-TODAY()&lt;180,"Por vencer","Vigente"))))</f>
        <v/>
      </c>
      <c r="AJ160" s="14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3"/>
      <c r="AF161" s="10" t="str">
        <f aca="true">IF(A161="","",IF(AE161="","Sin probar",IF(TODAY()-AE161&gt;90,"Vencido (&gt;90 días)","OK")))</f>
        <v/>
      </c>
      <c r="AG161" s="13"/>
      <c r="AH161" s="13"/>
      <c r="AI161" s="10" t="str">
        <f aca="true">IF(A161="","",IF(AH161="","Sin dato",IF(AH161&lt;TODAY(),"SIN SOPORTE",IF(AH161-TODAY()&lt;180,"Por vencer","Vigente"))))</f>
        <v/>
      </c>
      <c r="AJ161" s="14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3"/>
      <c r="AF162" s="10" t="str">
        <f aca="true">IF(A162="","",IF(AE162="","Sin probar",IF(TODAY()-AE162&gt;90,"Vencido (&gt;90 días)","OK")))</f>
        <v/>
      </c>
      <c r="AG162" s="13"/>
      <c r="AH162" s="13"/>
      <c r="AI162" s="10" t="str">
        <f aca="true">IF(A162="","",IF(AH162="","Sin dato",IF(AH162&lt;TODAY(),"SIN SOPORTE",IF(AH162-TODAY()&lt;180,"Por vencer","Vigente"))))</f>
        <v/>
      </c>
      <c r="AJ162" s="14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3"/>
      <c r="AF163" s="10" t="str">
        <f aca="true">IF(A163="","",IF(AE163="","Sin probar",IF(TODAY()-AE163&gt;90,"Vencido (&gt;90 días)","OK")))</f>
        <v/>
      </c>
      <c r="AG163" s="13"/>
      <c r="AH163" s="13"/>
      <c r="AI163" s="10" t="str">
        <f aca="true">IF(A163="","",IF(AH163="","Sin dato",IF(AH163&lt;TODAY(),"SIN SOPORTE",IF(AH163-TODAY()&lt;180,"Por vencer","Vigente"))))</f>
        <v/>
      </c>
      <c r="AJ163" s="14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3"/>
      <c r="AF164" s="10" t="str">
        <f aca="true">IF(A164="","",IF(AE164="","Sin probar",IF(TODAY()-AE164&gt;90,"Vencido (&gt;90 días)","OK")))</f>
        <v/>
      </c>
      <c r="AG164" s="13"/>
      <c r="AH164" s="13"/>
      <c r="AI164" s="10" t="str">
        <f aca="true">IF(A164="","",IF(AH164="","Sin dato",IF(AH164&lt;TODAY(),"SIN SOPORTE",IF(AH164-TODAY()&lt;180,"Por vencer","Vigente"))))</f>
        <v/>
      </c>
      <c r="AJ164" s="14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3"/>
      <c r="AF165" s="10" t="str">
        <f aca="true">IF(A165="","",IF(AE165="","Sin probar",IF(TODAY()-AE165&gt;90,"Vencido (&gt;90 días)","OK")))</f>
        <v/>
      </c>
      <c r="AG165" s="13"/>
      <c r="AH165" s="13"/>
      <c r="AI165" s="10" t="str">
        <f aca="true">IF(A165="","",IF(AH165="","Sin dato",IF(AH165&lt;TODAY(),"SIN SOPORTE",IF(AH165-TODAY()&lt;180,"Por vencer","Vigente"))))</f>
        <v/>
      </c>
      <c r="AJ165" s="14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3"/>
      <c r="AF166" s="10" t="str">
        <f aca="true">IF(A166="","",IF(AE166="","Sin probar",IF(TODAY()-AE166&gt;90,"Vencido (&gt;90 días)","OK")))</f>
        <v/>
      </c>
      <c r="AG166" s="13"/>
      <c r="AH166" s="13"/>
      <c r="AI166" s="10" t="str">
        <f aca="true">IF(A166="","",IF(AH166="","Sin dato",IF(AH166&lt;TODAY(),"SIN SOPORTE",IF(AH166-TODAY()&lt;180,"Por vencer","Vigente"))))</f>
        <v/>
      </c>
      <c r="AJ166" s="14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3"/>
      <c r="AF167" s="10" t="str">
        <f aca="true">IF(A167="","",IF(AE167="","Sin probar",IF(TODAY()-AE167&gt;90,"Vencido (&gt;90 días)","OK")))</f>
        <v/>
      </c>
      <c r="AG167" s="13"/>
      <c r="AH167" s="13"/>
      <c r="AI167" s="10" t="str">
        <f aca="true">IF(A167="","",IF(AH167="","Sin dato",IF(AH167&lt;TODAY(),"SIN SOPORTE",IF(AH167-TODAY()&lt;180,"Por vencer","Vigente"))))</f>
        <v/>
      </c>
      <c r="AJ167" s="14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3"/>
      <c r="AF168" s="10" t="str">
        <f aca="true">IF(A168="","",IF(AE168="","Sin probar",IF(TODAY()-AE168&gt;90,"Vencido (&gt;90 días)","OK")))</f>
        <v/>
      </c>
      <c r="AG168" s="13"/>
      <c r="AH168" s="13"/>
      <c r="AI168" s="10" t="str">
        <f aca="true">IF(A168="","",IF(AH168="","Sin dato",IF(AH168&lt;TODAY(),"SIN SOPORTE",IF(AH168-TODAY()&lt;180,"Por vencer","Vigente"))))</f>
        <v/>
      </c>
      <c r="AJ168" s="14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3"/>
      <c r="AF169" s="10" t="str">
        <f aca="true">IF(A169="","",IF(AE169="","Sin probar",IF(TODAY()-AE169&gt;90,"Vencido (&gt;90 días)","OK")))</f>
        <v/>
      </c>
      <c r="AG169" s="13"/>
      <c r="AH169" s="13"/>
      <c r="AI169" s="10" t="str">
        <f aca="true">IF(A169="","",IF(AH169="","Sin dato",IF(AH169&lt;TODAY(),"SIN SOPORTE",IF(AH169-TODAY()&lt;180,"Por vencer","Vigente"))))</f>
        <v/>
      </c>
      <c r="AJ169" s="14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3"/>
      <c r="AF170" s="10" t="str">
        <f aca="true">IF(A170="","",IF(AE170="","Sin probar",IF(TODAY()-AE170&gt;90,"Vencido (&gt;90 días)","OK")))</f>
        <v/>
      </c>
      <c r="AG170" s="13"/>
      <c r="AH170" s="13"/>
      <c r="AI170" s="10" t="str">
        <f aca="true">IF(A170="","",IF(AH170="","Sin dato",IF(AH170&lt;TODAY(),"SIN SOPORTE",IF(AH170-TODAY()&lt;180,"Por vencer","Vigente"))))</f>
        <v/>
      </c>
      <c r="AJ170" s="14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3"/>
      <c r="AF171" s="10" t="str">
        <f aca="true">IF(A171="","",IF(AE171="","Sin probar",IF(TODAY()-AE171&gt;90,"Vencido (&gt;90 días)","OK")))</f>
        <v/>
      </c>
      <c r="AG171" s="13"/>
      <c r="AH171" s="13"/>
      <c r="AI171" s="10" t="str">
        <f aca="true">IF(A171="","",IF(AH171="","Sin dato",IF(AH171&lt;TODAY(),"SIN SOPORTE",IF(AH171-TODAY()&lt;180,"Por vencer","Vigente"))))</f>
        <v/>
      </c>
      <c r="AJ171" s="14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3"/>
      <c r="AF172" s="10" t="str">
        <f aca="true">IF(A172="","",IF(AE172="","Sin probar",IF(TODAY()-AE172&gt;90,"Vencido (&gt;90 días)","OK")))</f>
        <v/>
      </c>
      <c r="AG172" s="13"/>
      <c r="AH172" s="13"/>
      <c r="AI172" s="10" t="str">
        <f aca="true">IF(A172="","",IF(AH172="","Sin dato",IF(AH172&lt;TODAY(),"SIN SOPORTE",IF(AH172-TODAY()&lt;180,"Por vencer","Vigente"))))</f>
        <v/>
      </c>
      <c r="AJ172" s="14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3"/>
      <c r="AF173" s="10" t="str">
        <f aca="true">IF(A173="","",IF(AE173="","Sin probar",IF(TODAY()-AE173&gt;90,"Vencido (&gt;90 días)","OK")))</f>
        <v/>
      </c>
      <c r="AG173" s="13"/>
      <c r="AH173" s="13"/>
      <c r="AI173" s="10" t="str">
        <f aca="true">IF(A173="","",IF(AH173="","Sin dato",IF(AH173&lt;TODAY(),"SIN SOPORTE",IF(AH173-TODAY()&lt;180,"Por vencer","Vigente"))))</f>
        <v/>
      </c>
      <c r="AJ173" s="14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3"/>
      <c r="AF174" s="10" t="str">
        <f aca="true">IF(A174="","",IF(AE174="","Sin probar",IF(TODAY()-AE174&gt;90,"Vencido (&gt;90 días)","OK")))</f>
        <v/>
      </c>
      <c r="AG174" s="13"/>
      <c r="AH174" s="13"/>
      <c r="AI174" s="10" t="str">
        <f aca="true">IF(A174="","",IF(AH174="","Sin dato",IF(AH174&lt;TODAY(),"SIN SOPORTE",IF(AH174-TODAY()&lt;180,"Por vencer","Vigente"))))</f>
        <v/>
      </c>
      <c r="AJ174" s="14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3"/>
      <c r="AF175" s="10" t="str">
        <f aca="true">IF(A175="","",IF(AE175="","Sin probar",IF(TODAY()-AE175&gt;90,"Vencido (&gt;90 días)","OK")))</f>
        <v/>
      </c>
      <c r="AG175" s="13"/>
      <c r="AH175" s="13"/>
      <c r="AI175" s="10" t="str">
        <f aca="true">IF(A175="","",IF(AH175="","Sin dato",IF(AH175&lt;TODAY(),"SIN SOPORTE",IF(AH175-TODAY()&lt;180,"Por vencer","Vigente"))))</f>
        <v/>
      </c>
      <c r="AJ175" s="14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3"/>
      <c r="AF176" s="10" t="str">
        <f aca="true">IF(A176="","",IF(AE176="","Sin probar",IF(TODAY()-AE176&gt;90,"Vencido (&gt;90 días)","OK")))</f>
        <v/>
      </c>
      <c r="AG176" s="13"/>
      <c r="AH176" s="13"/>
      <c r="AI176" s="10" t="str">
        <f aca="true">IF(A176="","",IF(AH176="","Sin dato",IF(AH176&lt;TODAY(),"SIN SOPORTE",IF(AH176-TODAY()&lt;180,"Por vencer","Vigente"))))</f>
        <v/>
      </c>
      <c r="AJ176" s="14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3"/>
      <c r="AF177" s="10" t="str">
        <f aca="true">IF(A177="","",IF(AE177="","Sin probar",IF(TODAY()-AE177&gt;90,"Vencido (&gt;90 días)","OK")))</f>
        <v/>
      </c>
      <c r="AG177" s="13"/>
      <c r="AH177" s="13"/>
      <c r="AI177" s="10" t="str">
        <f aca="true">IF(A177="","",IF(AH177="","Sin dato",IF(AH177&lt;TODAY(),"SIN SOPORTE",IF(AH177-TODAY()&lt;180,"Por vencer","Vigente"))))</f>
        <v/>
      </c>
      <c r="AJ177" s="14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3"/>
      <c r="AF178" s="10" t="str">
        <f aca="true">IF(A178="","",IF(AE178="","Sin probar",IF(TODAY()-AE178&gt;90,"Vencido (&gt;90 días)","OK")))</f>
        <v/>
      </c>
      <c r="AG178" s="13"/>
      <c r="AH178" s="13"/>
      <c r="AI178" s="10" t="str">
        <f aca="true">IF(A178="","",IF(AH178="","Sin dato",IF(AH178&lt;TODAY(),"SIN SOPORTE",IF(AH178-TODAY()&lt;180,"Por vencer","Vigente"))))</f>
        <v/>
      </c>
      <c r="AJ178" s="14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3"/>
      <c r="AF179" s="10" t="str">
        <f aca="true">IF(A179="","",IF(AE179="","Sin probar",IF(TODAY()-AE179&gt;90,"Vencido (&gt;90 días)","OK")))</f>
        <v/>
      </c>
      <c r="AG179" s="13"/>
      <c r="AH179" s="13"/>
      <c r="AI179" s="10" t="str">
        <f aca="true">IF(A179="","",IF(AH179="","Sin dato",IF(AH179&lt;TODAY(),"SIN SOPORTE",IF(AH179-TODAY()&lt;180,"Por vencer","Vigente"))))</f>
        <v/>
      </c>
      <c r="AJ179" s="14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3"/>
      <c r="AF180" s="10" t="str">
        <f aca="true">IF(A180="","",IF(AE180="","Sin probar",IF(TODAY()-AE180&gt;90,"Vencido (&gt;90 días)","OK")))</f>
        <v/>
      </c>
      <c r="AG180" s="13"/>
      <c r="AH180" s="13"/>
      <c r="AI180" s="10" t="str">
        <f aca="true">IF(A180="","",IF(AH180="","Sin dato",IF(AH180&lt;TODAY(),"SIN SOPORTE",IF(AH180-TODAY()&lt;180,"Por vencer","Vigente"))))</f>
        <v/>
      </c>
      <c r="AJ180" s="14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3"/>
      <c r="AF181" s="10" t="str">
        <f aca="true">IF(A181="","",IF(AE181="","Sin probar",IF(TODAY()-AE181&gt;90,"Vencido (&gt;90 días)","OK")))</f>
        <v/>
      </c>
      <c r="AG181" s="13"/>
      <c r="AH181" s="13"/>
      <c r="AI181" s="10" t="str">
        <f aca="true">IF(A181="","",IF(AH181="","Sin dato",IF(AH181&lt;TODAY(),"SIN SOPORTE",IF(AH181-TODAY()&lt;180,"Por vencer","Vigente"))))</f>
        <v/>
      </c>
      <c r="AJ181" s="14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3"/>
      <c r="AF182" s="10" t="str">
        <f aca="true">IF(A182="","",IF(AE182="","Sin probar",IF(TODAY()-AE182&gt;90,"Vencido (&gt;90 días)","OK")))</f>
        <v/>
      </c>
      <c r="AG182" s="13"/>
      <c r="AH182" s="13"/>
      <c r="AI182" s="10" t="str">
        <f aca="true">IF(A182="","",IF(AH182="","Sin dato",IF(AH182&lt;TODAY(),"SIN SOPORTE",IF(AH182-TODAY()&lt;180,"Por vencer","Vigente"))))</f>
        <v/>
      </c>
      <c r="AJ182" s="14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3"/>
      <c r="AF183" s="10" t="str">
        <f aca="true">IF(A183="","",IF(AE183="","Sin probar",IF(TODAY()-AE183&gt;90,"Vencido (&gt;90 días)","OK")))</f>
        <v/>
      </c>
      <c r="AG183" s="13"/>
      <c r="AH183" s="13"/>
      <c r="AI183" s="10" t="str">
        <f aca="true">IF(A183="","",IF(AH183="","Sin dato",IF(AH183&lt;TODAY(),"SIN SOPORTE",IF(AH183-TODAY()&lt;180,"Por vencer","Vigente"))))</f>
        <v/>
      </c>
      <c r="AJ183" s="14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3"/>
      <c r="AF184" s="10" t="str">
        <f aca="true">IF(A184="","",IF(AE184="","Sin probar",IF(TODAY()-AE184&gt;90,"Vencido (&gt;90 días)","OK")))</f>
        <v/>
      </c>
      <c r="AG184" s="13"/>
      <c r="AH184" s="13"/>
      <c r="AI184" s="10" t="str">
        <f aca="true">IF(A184="","",IF(AH184="","Sin dato",IF(AH184&lt;TODAY(),"SIN SOPORTE",IF(AH184-TODAY()&lt;180,"Por vencer","Vigente"))))</f>
        <v/>
      </c>
      <c r="AJ184" s="14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3"/>
      <c r="AF185" s="10" t="str">
        <f aca="true">IF(A185="","",IF(AE185="","Sin probar",IF(TODAY()-AE185&gt;90,"Vencido (&gt;90 días)","OK")))</f>
        <v/>
      </c>
      <c r="AG185" s="13"/>
      <c r="AH185" s="13"/>
      <c r="AI185" s="10" t="str">
        <f aca="true">IF(A185="","",IF(AH185="","Sin dato",IF(AH185&lt;TODAY(),"SIN SOPORTE",IF(AH185-TODAY()&lt;180,"Por vencer","Vigente"))))</f>
        <v/>
      </c>
      <c r="AJ185" s="14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3"/>
      <c r="AF186" s="10" t="str">
        <f aca="true">IF(A186="","",IF(AE186="","Sin probar",IF(TODAY()-AE186&gt;90,"Vencido (&gt;90 días)","OK")))</f>
        <v/>
      </c>
      <c r="AG186" s="13"/>
      <c r="AH186" s="13"/>
      <c r="AI186" s="10" t="str">
        <f aca="true">IF(A186="","",IF(AH186="","Sin dato",IF(AH186&lt;TODAY(),"SIN SOPORTE",IF(AH186-TODAY()&lt;180,"Por vencer","Vigente"))))</f>
        <v/>
      </c>
      <c r="AJ186" s="14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3"/>
      <c r="AF187" s="10" t="str">
        <f aca="true">IF(A187="","",IF(AE187="","Sin probar",IF(TODAY()-AE187&gt;90,"Vencido (&gt;90 días)","OK")))</f>
        <v/>
      </c>
      <c r="AG187" s="13"/>
      <c r="AH187" s="13"/>
      <c r="AI187" s="10" t="str">
        <f aca="true">IF(A187="","",IF(AH187="","Sin dato",IF(AH187&lt;TODAY(),"SIN SOPORTE",IF(AH187-TODAY()&lt;180,"Por vencer","Vigente"))))</f>
        <v/>
      </c>
      <c r="AJ187" s="14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3"/>
      <c r="AF188" s="10" t="str">
        <f aca="true">IF(A188="","",IF(AE188="","Sin probar",IF(TODAY()-AE188&gt;90,"Vencido (&gt;90 días)","OK")))</f>
        <v/>
      </c>
      <c r="AG188" s="13"/>
      <c r="AH188" s="13"/>
      <c r="AI188" s="10" t="str">
        <f aca="true">IF(A188="","",IF(AH188="","Sin dato",IF(AH188&lt;TODAY(),"SIN SOPORTE",IF(AH188-TODAY()&lt;180,"Por vencer","Vigente"))))</f>
        <v/>
      </c>
      <c r="AJ188" s="14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3"/>
      <c r="AF189" s="10" t="str">
        <f aca="true">IF(A189="","",IF(AE189="","Sin probar",IF(TODAY()-AE189&gt;90,"Vencido (&gt;90 días)","OK")))</f>
        <v/>
      </c>
      <c r="AG189" s="13"/>
      <c r="AH189" s="13"/>
      <c r="AI189" s="10" t="str">
        <f aca="true">IF(A189="","",IF(AH189="","Sin dato",IF(AH189&lt;TODAY(),"SIN SOPORTE",IF(AH189-TODAY()&lt;180,"Por vencer","Vigente"))))</f>
        <v/>
      </c>
      <c r="AJ189" s="14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3"/>
      <c r="AF190" s="10" t="str">
        <f aca="true">IF(A190="","",IF(AE190="","Sin probar",IF(TODAY()-AE190&gt;90,"Vencido (&gt;90 días)","OK")))</f>
        <v/>
      </c>
      <c r="AG190" s="13"/>
      <c r="AH190" s="13"/>
      <c r="AI190" s="10" t="str">
        <f aca="true">IF(A190="","",IF(AH190="","Sin dato",IF(AH190&lt;TODAY(),"SIN SOPORTE",IF(AH190-TODAY()&lt;180,"Por vencer","Vigente"))))</f>
        <v/>
      </c>
      <c r="AJ190" s="14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3"/>
      <c r="AF191" s="10" t="str">
        <f aca="true">IF(A191="","",IF(AE191="","Sin probar",IF(TODAY()-AE191&gt;90,"Vencido (&gt;90 días)","OK")))</f>
        <v/>
      </c>
      <c r="AG191" s="13"/>
      <c r="AH191" s="13"/>
      <c r="AI191" s="10" t="str">
        <f aca="true">IF(A191="","",IF(AH191="","Sin dato",IF(AH191&lt;TODAY(),"SIN SOPORTE",IF(AH191-TODAY()&lt;180,"Por vencer","Vigente"))))</f>
        <v/>
      </c>
      <c r="AJ191" s="14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3"/>
      <c r="AF192" s="10" t="str">
        <f aca="true">IF(A192="","",IF(AE192="","Sin probar",IF(TODAY()-AE192&gt;90,"Vencido (&gt;90 días)","OK")))</f>
        <v/>
      </c>
      <c r="AG192" s="13"/>
      <c r="AH192" s="13"/>
      <c r="AI192" s="10" t="str">
        <f aca="true">IF(A192="","",IF(AH192="","Sin dato",IF(AH192&lt;TODAY(),"SIN SOPORTE",IF(AH192-TODAY()&lt;180,"Por vencer","Vigente"))))</f>
        <v/>
      </c>
      <c r="AJ192" s="14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3"/>
      <c r="AF193" s="10" t="str">
        <f aca="true">IF(A193="","",IF(AE193="","Sin probar",IF(TODAY()-AE193&gt;90,"Vencido (&gt;90 días)","OK")))</f>
        <v/>
      </c>
      <c r="AG193" s="13"/>
      <c r="AH193" s="13"/>
      <c r="AI193" s="10" t="str">
        <f aca="true">IF(A193="","",IF(AH193="","Sin dato",IF(AH193&lt;TODAY(),"SIN SOPORTE",IF(AH193-TODAY()&lt;180,"Por vencer","Vigente"))))</f>
        <v/>
      </c>
      <c r="AJ193" s="14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3"/>
      <c r="AF194" s="10" t="str">
        <f aca="true">IF(A194="","",IF(AE194="","Sin probar",IF(TODAY()-AE194&gt;90,"Vencido (&gt;90 días)","OK")))</f>
        <v/>
      </c>
      <c r="AG194" s="13"/>
      <c r="AH194" s="13"/>
      <c r="AI194" s="10" t="str">
        <f aca="true">IF(A194="","",IF(AH194="","Sin dato",IF(AH194&lt;TODAY(),"SIN SOPORTE",IF(AH194-TODAY()&lt;180,"Por vencer","Vigente"))))</f>
        <v/>
      </c>
      <c r="AJ194" s="14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3"/>
      <c r="AF195" s="10" t="str">
        <f aca="true">IF(A195="","",IF(AE195="","Sin probar",IF(TODAY()-AE195&gt;90,"Vencido (&gt;90 días)","OK")))</f>
        <v/>
      </c>
      <c r="AG195" s="13"/>
      <c r="AH195" s="13"/>
      <c r="AI195" s="10" t="str">
        <f aca="true">IF(A195="","",IF(AH195="","Sin dato",IF(AH195&lt;TODAY(),"SIN SOPORTE",IF(AH195-TODAY()&lt;180,"Por vencer","Vigente"))))</f>
        <v/>
      </c>
      <c r="AJ195" s="14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3"/>
      <c r="AF196" s="10" t="str">
        <f aca="true">IF(A196="","",IF(AE196="","Sin probar",IF(TODAY()-AE196&gt;90,"Vencido (&gt;90 días)","OK")))</f>
        <v/>
      </c>
      <c r="AG196" s="13"/>
      <c r="AH196" s="13"/>
      <c r="AI196" s="10" t="str">
        <f aca="true">IF(A196="","",IF(AH196="","Sin dato",IF(AH196&lt;TODAY(),"SIN SOPORTE",IF(AH196-TODAY()&lt;180,"Por vencer","Vigente"))))</f>
        <v/>
      </c>
      <c r="AJ196" s="14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3"/>
      <c r="AF197" s="10" t="str">
        <f aca="true">IF(A197="","",IF(AE197="","Sin probar",IF(TODAY()-AE197&gt;90,"Vencido (&gt;90 días)","OK")))</f>
        <v/>
      </c>
      <c r="AG197" s="13"/>
      <c r="AH197" s="13"/>
      <c r="AI197" s="10" t="str">
        <f aca="true">IF(A197="","",IF(AH197="","Sin dato",IF(AH197&lt;TODAY(),"SIN SOPORTE",IF(AH197-TODAY()&lt;180,"Por vencer","Vigente"))))</f>
        <v/>
      </c>
      <c r="AJ197" s="14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3"/>
      <c r="AF198" s="10" t="str">
        <f aca="true">IF(A198="","",IF(AE198="","Sin probar",IF(TODAY()-AE198&gt;90,"Vencido (&gt;90 días)","OK")))</f>
        <v/>
      </c>
      <c r="AG198" s="13"/>
      <c r="AH198" s="13"/>
      <c r="AI198" s="10" t="str">
        <f aca="true">IF(A198="","",IF(AH198="","Sin dato",IF(AH198&lt;TODAY(),"SIN SOPORTE",IF(AH198-TODAY()&lt;180,"Por vencer","Vigente"))))</f>
        <v/>
      </c>
      <c r="AJ198" s="14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3"/>
      <c r="AF199" s="10" t="str">
        <f aca="true">IF(A199="","",IF(AE199="","Sin probar",IF(TODAY()-AE199&gt;90,"Vencido (&gt;90 días)","OK")))</f>
        <v/>
      </c>
      <c r="AG199" s="13"/>
      <c r="AH199" s="13"/>
      <c r="AI199" s="10" t="str">
        <f aca="true">IF(A199="","",IF(AH199="","Sin dato",IF(AH199&lt;TODAY(),"SIN SOPORTE",IF(AH199-TODAY()&lt;180,"Por vencer","Vigente"))))</f>
        <v/>
      </c>
      <c r="AJ199" s="14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3"/>
      <c r="AF200" s="10" t="str">
        <f aca="true">IF(A200="","",IF(AE200="","Sin probar",IF(TODAY()-AE200&gt;90,"Vencido (&gt;90 días)","OK")))</f>
        <v/>
      </c>
      <c r="AG200" s="13"/>
      <c r="AH200" s="13"/>
      <c r="AI200" s="10" t="str">
        <f aca="true">IF(A200="","",IF(AH200="","Sin dato",IF(AH200&lt;TODAY(),"SIN SOPORTE",IF(AH200-TODAY()&lt;180,"Por vencer","Vigente"))))</f>
        <v/>
      </c>
      <c r="AJ200" s="14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3"/>
      <c r="AF201" s="10" t="str">
        <f aca="true">IF(A201="","",IF(AE201="","Sin probar",IF(TODAY()-AE201&gt;90,"Vencido (&gt;90 días)","OK")))</f>
        <v/>
      </c>
      <c r="AG201" s="13"/>
      <c r="AH201" s="13"/>
      <c r="AI201" s="10" t="str">
        <f aca="true">IF(A201="","",IF(AH201="","Sin dato",IF(AH201&lt;TODAY(),"SIN SOPORTE",IF(AH201-TODAY()&lt;180,"Por vencer","Vigente"))))</f>
        <v/>
      </c>
      <c r="AJ201" s="14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3"/>
      <c r="AF202" s="10" t="str">
        <f aca="true">IF(A202="","",IF(AE202="","Sin probar",IF(TODAY()-AE202&gt;90,"Vencido (&gt;90 días)","OK")))</f>
        <v/>
      </c>
      <c r="AG202" s="13"/>
      <c r="AH202" s="13"/>
      <c r="AI202" s="10" t="str">
        <f aca="true">IF(A202="","",IF(AH202="","Sin dato",IF(AH202&lt;TODAY(),"SIN SOPORTE",IF(AH202-TODAY()&lt;180,"Por vencer","Vigente"))))</f>
        <v/>
      </c>
      <c r="AJ202" s="14"/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3"/>
      <c r="AF203" s="10" t="str">
        <f aca="true">IF(A203="","",IF(AE203="","Sin probar",IF(TODAY()-AE203&gt;90,"Vencido (&gt;90 días)","OK")))</f>
        <v/>
      </c>
      <c r="AG203" s="13"/>
      <c r="AH203" s="13"/>
      <c r="AI203" s="10" t="str">
        <f aca="true">IF(A203="","",IF(AH203="","Sin dato",IF(AH203&lt;TODAY(),"SIN SOPORTE",IF(AH203-TODAY()&lt;180,"Por vencer","Vigente"))))</f>
        <v/>
      </c>
      <c r="AJ203" s="14"/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3"/>
      <c r="AF204" s="10" t="str">
        <f aca="true">IF(A204="","",IF(AE204="","Sin probar",IF(TODAY()-AE204&gt;90,"Vencido (&gt;90 días)","OK")))</f>
        <v/>
      </c>
      <c r="AG204" s="13"/>
      <c r="AH204" s="13"/>
      <c r="AI204" s="10" t="str">
        <f aca="true">IF(A204="","",IF(AH204="","Sin dato",IF(AH204&lt;TODAY(),"SIN SOPORTE",IF(AH204-TODAY()&lt;180,"Por vencer","Vigente"))))</f>
        <v/>
      </c>
      <c r="AJ204" s="14"/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3"/>
      <c r="AF205" s="10" t="str">
        <f aca="true">IF(A205="","",IF(AE205="","Sin probar",IF(TODAY()-AE205&gt;90,"Vencido (&gt;90 días)","OK")))</f>
        <v/>
      </c>
      <c r="AG205" s="13"/>
      <c r="AH205" s="13"/>
      <c r="AI205" s="10" t="str">
        <f aca="true">IF(A205="","",IF(AH205="","Sin dato",IF(AH205&lt;TODAY(),"SIN SOPORTE",IF(AH205-TODAY()&lt;180,"Por vencer","Vigente"))))</f>
        <v/>
      </c>
      <c r="AJ205" s="14"/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3"/>
      <c r="AF206" s="10" t="str">
        <f aca="true">IF(A206="","",IF(AE206="","Sin probar",IF(TODAY()-AE206&gt;90,"Vencido (&gt;90 días)","OK")))</f>
        <v/>
      </c>
      <c r="AG206" s="13"/>
      <c r="AH206" s="13"/>
      <c r="AI206" s="10" t="str">
        <f aca="true">IF(A206="","",IF(AH206="","Sin dato",IF(AH206&lt;TODAY(),"SIN SOPORTE",IF(AH206-TODAY()&lt;180,"Por vencer","Vigente"))))</f>
        <v/>
      </c>
      <c r="AJ206" s="14"/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3"/>
      <c r="AF207" s="10" t="str">
        <f aca="true">IF(A207="","",IF(AE207="","Sin probar",IF(TODAY()-AE207&gt;90,"Vencido (&gt;90 días)","OK")))</f>
        <v/>
      </c>
      <c r="AG207" s="13"/>
      <c r="AH207" s="13"/>
      <c r="AI207" s="10" t="str">
        <f aca="true">IF(A207="","",IF(AH207="","Sin dato",IF(AH207&lt;TODAY(),"SIN SOPORTE",IF(AH207-TODAY()&lt;180,"Por vencer","Vigente"))))</f>
        <v/>
      </c>
      <c r="AJ207" s="14"/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3"/>
      <c r="AF208" s="10" t="str">
        <f aca="true">IF(A208="","",IF(AE208="","Sin probar",IF(TODAY()-AE208&gt;90,"Vencido (&gt;90 días)","OK")))</f>
        <v/>
      </c>
      <c r="AG208" s="13"/>
      <c r="AH208" s="13"/>
      <c r="AI208" s="10" t="str">
        <f aca="true">IF(A208="","",IF(AH208="","Sin dato",IF(AH208&lt;TODAY(),"SIN SOPORTE",IF(AH208-TODAY()&lt;180,"Por vencer","Vigente"))))</f>
        <v/>
      </c>
      <c r="AJ208" s="14"/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3"/>
      <c r="AF209" s="10" t="str">
        <f aca="true">IF(A209="","",IF(AE209="","Sin probar",IF(TODAY()-AE209&gt;90,"Vencido (&gt;90 días)","OK")))</f>
        <v/>
      </c>
      <c r="AG209" s="13"/>
      <c r="AH209" s="13"/>
      <c r="AI209" s="10" t="str">
        <f aca="true">IF(A209="","",IF(AH209="","Sin dato",IF(AH209&lt;TODAY(),"SIN SOPORTE",IF(AH209-TODAY()&lt;180,"Por vencer","Vigente"))))</f>
        <v/>
      </c>
      <c r="AJ209" s="14"/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3"/>
      <c r="AF210" s="10" t="str">
        <f aca="true">IF(A210="","",IF(AE210="","Sin probar",IF(TODAY()-AE210&gt;90,"Vencido (&gt;90 días)","OK")))</f>
        <v/>
      </c>
      <c r="AG210" s="13"/>
      <c r="AH210" s="13"/>
      <c r="AI210" s="10" t="str">
        <f aca="true">IF(A210="","",IF(AH210="","Sin dato",IF(AH210&lt;TODAY(),"SIN SOPORTE",IF(AH210-TODAY()&lt;180,"Por vencer","Vigente"))))</f>
        <v/>
      </c>
      <c r="AJ210" s="14"/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3"/>
      <c r="AF211" s="10" t="str">
        <f aca="true">IF(A211="","",IF(AE211="","Sin probar",IF(TODAY()-AE211&gt;90,"Vencido (&gt;90 días)","OK")))</f>
        <v/>
      </c>
      <c r="AG211" s="13"/>
      <c r="AH211" s="13"/>
      <c r="AI211" s="10" t="str">
        <f aca="true">IF(A211="","",IF(AH211="","Sin dato",IF(AH211&lt;TODAY(),"SIN SOPORTE",IF(AH211-TODAY()&lt;180,"Por vencer","Vigente"))))</f>
        <v/>
      </c>
      <c r="AJ211" s="14"/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3"/>
      <c r="AF212" s="10" t="str">
        <f aca="true">IF(A212="","",IF(AE212="","Sin probar",IF(TODAY()-AE212&gt;90,"Vencido (&gt;90 días)","OK")))</f>
        <v/>
      </c>
      <c r="AG212" s="13"/>
      <c r="AH212" s="13"/>
      <c r="AI212" s="10" t="str">
        <f aca="true">IF(A212="","",IF(AH212="","Sin dato",IF(AH212&lt;TODAY(),"SIN SOPORTE",IF(AH212-TODAY()&lt;180,"Por vencer","Vigente"))))</f>
        <v/>
      </c>
      <c r="AJ212" s="14"/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3"/>
      <c r="AF213" s="10" t="str">
        <f aca="true">IF(A213="","",IF(AE213="","Sin probar",IF(TODAY()-AE213&gt;90,"Vencido (&gt;90 días)","OK")))</f>
        <v/>
      </c>
      <c r="AG213" s="13"/>
      <c r="AH213" s="13"/>
      <c r="AI213" s="10" t="str">
        <f aca="true">IF(A213="","",IF(AH213="","Sin dato",IF(AH213&lt;TODAY(),"SIN SOPORTE",IF(AH213-TODAY()&lt;180,"Por vencer","Vigente"))))</f>
        <v/>
      </c>
      <c r="AJ213" s="14"/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3"/>
      <c r="AF214" s="10" t="str">
        <f aca="true">IF(A214="","",IF(AE214="","Sin probar",IF(TODAY()-AE214&gt;90,"Vencido (&gt;90 días)","OK")))</f>
        <v/>
      </c>
      <c r="AG214" s="13"/>
      <c r="AH214" s="13"/>
      <c r="AI214" s="10" t="str">
        <f aca="true">IF(A214="","",IF(AH214="","Sin dato",IF(AH214&lt;TODAY(),"SIN SOPORTE",IF(AH214-TODAY()&lt;180,"Por vencer","Vigente"))))</f>
        <v/>
      </c>
      <c r="AJ214" s="14"/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3"/>
      <c r="AF215" s="10" t="str">
        <f aca="true">IF(A215="","",IF(AE215="","Sin probar",IF(TODAY()-AE215&gt;90,"Vencido (&gt;90 días)","OK")))</f>
        <v/>
      </c>
      <c r="AG215" s="13"/>
      <c r="AH215" s="13"/>
      <c r="AI215" s="10" t="str">
        <f aca="true">IF(A215="","",IF(AH215="","Sin dato",IF(AH215&lt;TODAY(),"SIN SOPORTE",IF(AH215-TODAY()&lt;180,"Por vencer","Vigente"))))</f>
        <v/>
      </c>
      <c r="AJ215" s="14"/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3"/>
      <c r="AF216" s="10" t="str">
        <f aca="true">IF(A216="","",IF(AE216="","Sin probar",IF(TODAY()-AE216&gt;90,"Vencido (&gt;90 días)","OK")))</f>
        <v/>
      </c>
      <c r="AG216" s="13"/>
      <c r="AH216" s="13"/>
      <c r="AI216" s="10" t="str">
        <f aca="true">IF(A216="","",IF(AH216="","Sin dato",IF(AH216&lt;TODAY(),"SIN SOPORTE",IF(AH216-TODAY()&lt;180,"Por vencer","Vigente"))))</f>
        <v/>
      </c>
      <c r="AJ216" s="14"/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3"/>
      <c r="AF217" s="10" t="str">
        <f aca="true">IF(A217="","",IF(AE217="","Sin probar",IF(TODAY()-AE217&gt;90,"Vencido (&gt;90 días)","OK")))</f>
        <v/>
      </c>
      <c r="AG217" s="13"/>
      <c r="AH217" s="13"/>
      <c r="AI217" s="10" t="str">
        <f aca="true">IF(A217="","",IF(AH217="","Sin dato",IF(AH217&lt;TODAY(),"SIN SOPORTE",IF(AH217-TODAY()&lt;180,"Por vencer","Vigente"))))</f>
        <v/>
      </c>
      <c r="AJ217" s="14"/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3"/>
      <c r="AF218" s="10" t="str">
        <f aca="true">IF(A218="","",IF(AE218="","Sin probar",IF(TODAY()-AE218&gt;90,"Vencido (&gt;90 días)","OK")))</f>
        <v/>
      </c>
      <c r="AG218" s="13"/>
      <c r="AH218" s="13"/>
      <c r="AI218" s="10" t="str">
        <f aca="true">IF(A218="","",IF(AH218="","Sin dato",IF(AH218&lt;TODAY(),"SIN SOPORTE",IF(AH218-TODAY()&lt;180,"Por vencer","Vigente"))))</f>
        <v/>
      </c>
      <c r="AJ218" s="14"/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3"/>
      <c r="AF219" s="10" t="str">
        <f aca="true">IF(A219="","",IF(AE219="","Sin probar",IF(TODAY()-AE219&gt;90,"Vencido (&gt;90 días)","OK")))</f>
        <v/>
      </c>
      <c r="AG219" s="13"/>
      <c r="AH219" s="13"/>
      <c r="AI219" s="10" t="str">
        <f aca="true">IF(A219="","",IF(AH219="","Sin dato",IF(AH219&lt;TODAY(),"SIN SOPORTE",IF(AH219-TODAY()&lt;180,"Por vencer","Vigente"))))</f>
        <v/>
      </c>
      <c r="AJ219" s="14"/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3"/>
      <c r="AF220" s="10" t="str">
        <f aca="true">IF(A220="","",IF(AE220="","Sin probar",IF(TODAY()-AE220&gt;90,"Vencido (&gt;90 días)","OK")))</f>
        <v/>
      </c>
      <c r="AG220" s="13"/>
      <c r="AH220" s="13"/>
      <c r="AI220" s="10" t="str">
        <f aca="true">IF(A220="","",IF(AH220="","Sin dato",IF(AH220&lt;TODAY(),"SIN SOPORTE",IF(AH220-TODAY()&lt;180,"Por vencer","Vigente"))))</f>
        <v/>
      </c>
      <c r="AJ220" s="14"/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3"/>
      <c r="AF221" s="10" t="str">
        <f aca="true">IF(A221="","",IF(AE221="","Sin probar",IF(TODAY()-AE221&gt;90,"Vencido (&gt;90 días)","OK")))</f>
        <v/>
      </c>
      <c r="AG221" s="13"/>
      <c r="AH221" s="13"/>
      <c r="AI221" s="10" t="str">
        <f aca="true">IF(A221="","",IF(AH221="","Sin dato",IF(AH221&lt;TODAY(),"SIN SOPORTE",IF(AH221-TODAY()&lt;180,"Por vencer","Vigente"))))</f>
        <v/>
      </c>
      <c r="AJ221" s="14"/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3"/>
      <c r="AF222" s="10" t="str">
        <f aca="true">IF(A222="","",IF(AE222="","Sin probar",IF(TODAY()-AE222&gt;90,"Vencido (&gt;90 días)","OK")))</f>
        <v/>
      </c>
      <c r="AG222" s="13"/>
      <c r="AH222" s="13"/>
      <c r="AI222" s="10" t="str">
        <f aca="true">IF(A222="","",IF(AH222="","Sin dato",IF(AH222&lt;TODAY(),"SIN SOPORTE",IF(AH222-TODAY()&lt;180,"Por vencer","Vigente"))))</f>
        <v/>
      </c>
      <c r="AJ222" s="14"/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3"/>
      <c r="AF223" s="10" t="str">
        <f aca="true">IF(A223="","",IF(AE223="","Sin probar",IF(TODAY()-AE223&gt;90,"Vencido (&gt;90 días)","OK")))</f>
        <v/>
      </c>
      <c r="AG223" s="13"/>
      <c r="AH223" s="13"/>
      <c r="AI223" s="10" t="str">
        <f aca="true">IF(A223="","",IF(AH223="","Sin dato",IF(AH223&lt;TODAY(),"SIN SOPORTE",IF(AH223-TODAY()&lt;180,"Por vencer","Vigente"))))</f>
        <v/>
      </c>
      <c r="AJ223" s="14"/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3"/>
      <c r="AF224" s="10" t="str">
        <f aca="true">IF(A224="","",IF(AE224="","Sin probar",IF(TODAY()-AE224&gt;90,"Vencido (&gt;90 días)","OK")))</f>
        <v/>
      </c>
      <c r="AG224" s="13"/>
      <c r="AH224" s="13"/>
      <c r="AI224" s="10" t="str">
        <f aca="true">IF(A224="","",IF(AH224="","Sin dato",IF(AH224&lt;TODAY(),"SIN SOPORTE",IF(AH224-TODAY()&lt;180,"Por vencer","Vigente"))))</f>
        <v/>
      </c>
      <c r="AJ224" s="14"/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3"/>
      <c r="AF225" s="10" t="str">
        <f aca="true">IF(A225="","",IF(AE225="","Sin probar",IF(TODAY()-AE225&gt;90,"Vencido (&gt;90 días)","OK")))</f>
        <v/>
      </c>
      <c r="AG225" s="13"/>
      <c r="AH225" s="13"/>
      <c r="AI225" s="10" t="str">
        <f aca="true">IF(A225="","",IF(AH225="","Sin dato",IF(AH225&lt;TODAY(),"SIN SOPORTE",IF(AH225-TODAY()&lt;180,"Por vencer","Vigente"))))</f>
        <v/>
      </c>
      <c r="AJ225" s="14"/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3"/>
      <c r="AF226" s="10" t="str">
        <f aca="true">IF(A226="","",IF(AE226="","Sin probar",IF(TODAY()-AE226&gt;90,"Vencido (&gt;90 días)","OK")))</f>
        <v/>
      </c>
      <c r="AG226" s="13"/>
      <c r="AH226" s="13"/>
      <c r="AI226" s="10" t="str">
        <f aca="true">IF(A226="","",IF(AH226="","Sin dato",IF(AH226&lt;TODAY(),"SIN SOPORTE",IF(AH226-TODAY()&lt;180,"Por vencer","Vigente"))))</f>
        <v/>
      </c>
      <c r="AJ226" s="14"/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3"/>
      <c r="AF227" s="10" t="str">
        <f aca="true">IF(A227="","",IF(AE227="","Sin probar",IF(TODAY()-AE227&gt;90,"Vencido (&gt;90 días)","OK")))</f>
        <v/>
      </c>
      <c r="AG227" s="13"/>
      <c r="AH227" s="13"/>
      <c r="AI227" s="10" t="str">
        <f aca="true">IF(A227="","",IF(AH227="","Sin dato",IF(AH227&lt;TODAY(),"SIN SOPORTE",IF(AH227-TODAY()&lt;180,"Por vencer","Vigente"))))</f>
        <v/>
      </c>
      <c r="AJ227" s="14"/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3"/>
      <c r="AF228" s="10" t="str">
        <f aca="true">IF(A228="","",IF(AE228="","Sin probar",IF(TODAY()-AE228&gt;90,"Vencido (&gt;90 días)","OK")))</f>
        <v/>
      </c>
      <c r="AG228" s="13"/>
      <c r="AH228" s="13"/>
      <c r="AI228" s="10" t="str">
        <f aca="true">IF(A228="","",IF(AH228="","Sin dato",IF(AH228&lt;TODAY(),"SIN SOPORTE",IF(AH228-TODAY()&lt;180,"Por vencer","Vigente"))))</f>
        <v/>
      </c>
      <c r="AJ228" s="14"/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3"/>
      <c r="AF229" s="10" t="str">
        <f aca="true">IF(A229="","",IF(AE229="","Sin probar",IF(TODAY()-AE229&gt;90,"Vencido (&gt;90 días)","OK")))</f>
        <v/>
      </c>
      <c r="AG229" s="13"/>
      <c r="AH229" s="13"/>
      <c r="AI229" s="10" t="str">
        <f aca="true">IF(A229="","",IF(AH229="","Sin dato",IF(AH229&lt;TODAY(),"SIN SOPORTE",IF(AH229-TODAY()&lt;180,"Por vencer","Vigente"))))</f>
        <v/>
      </c>
      <c r="AJ229" s="14"/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3"/>
      <c r="AF230" s="10" t="str">
        <f aca="true">IF(A230="","",IF(AE230="","Sin probar",IF(TODAY()-AE230&gt;90,"Vencido (&gt;90 días)","OK")))</f>
        <v/>
      </c>
      <c r="AG230" s="13"/>
      <c r="AH230" s="13"/>
      <c r="AI230" s="10" t="str">
        <f aca="true">IF(A230="","",IF(AH230="","Sin dato",IF(AH230&lt;TODAY(),"SIN SOPORTE",IF(AH230-TODAY()&lt;180,"Por vencer","Vigente"))))</f>
        <v/>
      </c>
      <c r="AJ230" s="14"/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3"/>
      <c r="AF231" s="10" t="str">
        <f aca="true">IF(A231="","",IF(AE231="","Sin probar",IF(TODAY()-AE231&gt;90,"Vencido (&gt;90 días)","OK")))</f>
        <v/>
      </c>
      <c r="AG231" s="13"/>
      <c r="AH231" s="13"/>
      <c r="AI231" s="10" t="str">
        <f aca="true">IF(A231="","",IF(AH231="","Sin dato",IF(AH231&lt;TODAY(),"SIN SOPORTE",IF(AH231-TODAY()&lt;180,"Por vencer","Vigente"))))</f>
        <v/>
      </c>
      <c r="AJ231" s="14"/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3"/>
      <c r="AF232" s="10" t="str">
        <f aca="true">IF(A232="","",IF(AE232="","Sin probar",IF(TODAY()-AE232&gt;90,"Vencido (&gt;90 días)","OK")))</f>
        <v/>
      </c>
      <c r="AG232" s="13"/>
      <c r="AH232" s="13"/>
      <c r="AI232" s="10" t="str">
        <f aca="true">IF(A232="","",IF(AH232="","Sin dato",IF(AH232&lt;TODAY(),"SIN SOPORTE",IF(AH232-TODAY()&lt;180,"Por vencer","Vigente"))))</f>
        <v/>
      </c>
      <c r="AJ232" s="14"/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3"/>
      <c r="AF233" s="10" t="str">
        <f aca="true">IF(A233="","",IF(AE233="","Sin probar",IF(TODAY()-AE233&gt;90,"Vencido (&gt;90 días)","OK")))</f>
        <v/>
      </c>
      <c r="AG233" s="13"/>
      <c r="AH233" s="13"/>
      <c r="AI233" s="10" t="str">
        <f aca="true">IF(A233="","",IF(AH233="","Sin dato",IF(AH233&lt;TODAY(),"SIN SOPORTE",IF(AH233-TODAY()&lt;180,"Por vencer","Vigente"))))</f>
        <v/>
      </c>
      <c r="AJ233" s="14"/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3"/>
      <c r="AF234" s="10" t="str">
        <f aca="true">IF(A234="","",IF(AE234="","Sin probar",IF(TODAY()-AE234&gt;90,"Vencido (&gt;90 días)","OK")))</f>
        <v/>
      </c>
      <c r="AG234" s="13"/>
      <c r="AH234" s="13"/>
      <c r="AI234" s="10" t="str">
        <f aca="true">IF(A234="","",IF(AH234="","Sin dato",IF(AH234&lt;TODAY(),"SIN SOPORTE",IF(AH234-TODAY()&lt;180,"Por vencer","Vigente"))))</f>
        <v/>
      </c>
      <c r="AJ234" s="14"/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3"/>
      <c r="AF235" s="10" t="str">
        <f aca="true">IF(A235="","",IF(AE235="","Sin probar",IF(TODAY()-AE235&gt;90,"Vencido (&gt;90 días)","OK")))</f>
        <v/>
      </c>
      <c r="AG235" s="13"/>
      <c r="AH235" s="13"/>
      <c r="AI235" s="10" t="str">
        <f aca="true">IF(A235="","",IF(AH235="","Sin dato",IF(AH235&lt;TODAY(),"SIN SOPORTE",IF(AH235-TODAY()&lt;180,"Por vencer","Vigente"))))</f>
        <v/>
      </c>
      <c r="AJ235" s="14"/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3"/>
      <c r="AF236" s="10" t="str">
        <f aca="true">IF(A236="","",IF(AE236="","Sin probar",IF(TODAY()-AE236&gt;90,"Vencido (&gt;90 días)","OK")))</f>
        <v/>
      </c>
      <c r="AG236" s="13"/>
      <c r="AH236" s="13"/>
      <c r="AI236" s="10" t="str">
        <f aca="true">IF(A236="","",IF(AH236="","Sin dato",IF(AH236&lt;TODAY(),"SIN SOPORTE",IF(AH236-TODAY()&lt;180,"Por vencer","Vigente"))))</f>
        <v/>
      </c>
      <c r="AJ236" s="14"/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3"/>
      <c r="AF237" s="10" t="str">
        <f aca="true">IF(A237="","",IF(AE237="","Sin probar",IF(TODAY()-AE237&gt;90,"Vencido (&gt;90 días)","OK")))</f>
        <v/>
      </c>
      <c r="AG237" s="13"/>
      <c r="AH237" s="13"/>
      <c r="AI237" s="10" t="str">
        <f aca="true">IF(A237="","",IF(AH237="","Sin dato",IF(AH237&lt;TODAY(),"SIN SOPORTE",IF(AH237-TODAY()&lt;180,"Por vencer","Vigente"))))</f>
        <v/>
      </c>
      <c r="AJ237" s="14"/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3"/>
      <c r="AF238" s="10" t="str">
        <f aca="true">IF(A238="","",IF(AE238="","Sin probar",IF(TODAY()-AE238&gt;90,"Vencido (&gt;90 días)","OK")))</f>
        <v/>
      </c>
      <c r="AG238" s="13"/>
      <c r="AH238" s="13"/>
      <c r="AI238" s="10" t="str">
        <f aca="true">IF(A238="","",IF(AH238="","Sin dato",IF(AH238&lt;TODAY(),"SIN SOPORTE",IF(AH238-TODAY()&lt;180,"Por vencer","Vigente"))))</f>
        <v/>
      </c>
      <c r="AJ238" s="14"/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3"/>
      <c r="AF239" s="10" t="str">
        <f aca="true">IF(A239="","",IF(AE239="","Sin probar",IF(TODAY()-AE239&gt;90,"Vencido (&gt;90 días)","OK")))</f>
        <v/>
      </c>
      <c r="AG239" s="13"/>
      <c r="AH239" s="13"/>
      <c r="AI239" s="10" t="str">
        <f aca="true">IF(A239="","",IF(AH239="","Sin dato",IF(AH239&lt;TODAY(),"SIN SOPORTE",IF(AH239-TODAY()&lt;180,"Por vencer","Vigente"))))</f>
        <v/>
      </c>
      <c r="AJ239" s="14"/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3"/>
      <c r="AF240" s="10" t="str">
        <f aca="true">IF(A240="","",IF(AE240="","Sin probar",IF(TODAY()-AE240&gt;90,"Vencido (&gt;90 días)","OK")))</f>
        <v/>
      </c>
      <c r="AG240" s="13"/>
      <c r="AH240" s="13"/>
      <c r="AI240" s="10" t="str">
        <f aca="true">IF(A240="","",IF(AH240="","Sin dato",IF(AH240&lt;TODAY(),"SIN SOPORTE",IF(AH240-TODAY()&lt;180,"Por vencer","Vigente"))))</f>
        <v/>
      </c>
      <c r="AJ240" s="14"/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3"/>
      <c r="AF241" s="10" t="str">
        <f aca="true">IF(A241="","",IF(AE241="","Sin probar",IF(TODAY()-AE241&gt;90,"Vencido (&gt;90 días)","OK")))</f>
        <v/>
      </c>
      <c r="AG241" s="13"/>
      <c r="AH241" s="13"/>
      <c r="AI241" s="10" t="str">
        <f aca="true">IF(A241="","",IF(AH241="","Sin dato",IF(AH241&lt;TODAY(),"SIN SOPORTE",IF(AH241-TODAY()&lt;180,"Por vencer","Vigente"))))</f>
        <v/>
      </c>
      <c r="AJ241" s="14"/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3"/>
      <c r="AF242" s="10" t="str">
        <f aca="true">IF(A242="","",IF(AE242="","Sin probar",IF(TODAY()-AE242&gt;90,"Vencido (&gt;90 días)","OK")))</f>
        <v/>
      </c>
      <c r="AG242" s="13"/>
      <c r="AH242" s="13"/>
      <c r="AI242" s="10" t="str">
        <f aca="true">IF(A242="","",IF(AH242="","Sin dato",IF(AH242&lt;TODAY(),"SIN SOPORTE",IF(AH242-TODAY()&lt;180,"Por vencer","Vigente"))))</f>
        <v/>
      </c>
      <c r="AJ242" s="14"/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3"/>
      <c r="AF243" s="10" t="str">
        <f aca="true">IF(A243="","",IF(AE243="","Sin probar",IF(TODAY()-AE243&gt;90,"Vencido (&gt;90 días)","OK")))</f>
        <v/>
      </c>
      <c r="AG243" s="13"/>
      <c r="AH243" s="13"/>
      <c r="AI243" s="10" t="str">
        <f aca="true">IF(A243="","",IF(AH243="","Sin dato",IF(AH243&lt;TODAY(),"SIN SOPORTE",IF(AH243-TODAY()&lt;180,"Por vencer","Vigente"))))</f>
        <v/>
      </c>
      <c r="AJ243" s="14"/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3"/>
      <c r="AF244" s="10" t="str">
        <f aca="true">IF(A244="","",IF(AE244="","Sin probar",IF(TODAY()-AE244&gt;90,"Vencido (&gt;90 días)","OK")))</f>
        <v/>
      </c>
      <c r="AG244" s="13"/>
      <c r="AH244" s="13"/>
      <c r="AI244" s="10" t="str">
        <f aca="true">IF(A244="","",IF(AH244="","Sin dato",IF(AH244&lt;TODAY(),"SIN SOPORTE",IF(AH244-TODAY()&lt;180,"Por vencer","Vigente"))))</f>
        <v/>
      </c>
      <c r="AJ244" s="14"/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3"/>
      <c r="AF245" s="10" t="str">
        <f aca="true">IF(A245="","",IF(AE245="","Sin probar",IF(TODAY()-AE245&gt;90,"Vencido (&gt;90 días)","OK")))</f>
        <v/>
      </c>
      <c r="AG245" s="13"/>
      <c r="AH245" s="13"/>
      <c r="AI245" s="10" t="str">
        <f aca="true">IF(A245="","",IF(AH245="","Sin dato",IF(AH245&lt;TODAY(),"SIN SOPORTE",IF(AH245-TODAY()&lt;180,"Por vencer","Vigente"))))</f>
        <v/>
      </c>
      <c r="AJ245" s="14"/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3"/>
      <c r="AF246" s="10" t="str">
        <f aca="true">IF(A246="","",IF(AE246="","Sin probar",IF(TODAY()-AE246&gt;90,"Vencido (&gt;90 días)","OK")))</f>
        <v/>
      </c>
      <c r="AG246" s="13"/>
      <c r="AH246" s="13"/>
      <c r="AI246" s="10" t="str">
        <f aca="true">IF(A246="","",IF(AH246="","Sin dato",IF(AH246&lt;TODAY(),"SIN SOPORTE",IF(AH246-TODAY()&lt;180,"Por vencer","Vigente"))))</f>
        <v/>
      </c>
      <c r="AJ246" s="14"/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3"/>
      <c r="AF247" s="10" t="str">
        <f aca="true">IF(A247="","",IF(AE247="","Sin probar",IF(TODAY()-AE247&gt;90,"Vencido (&gt;90 días)","OK")))</f>
        <v/>
      </c>
      <c r="AG247" s="13"/>
      <c r="AH247" s="13"/>
      <c r="AI247" s="10" t="str">
        <f aca="true">IF(A247="","",IF(AH247="","Sin dato",IF(AH247&lt;TODAY(),"SIN SOPORTE",IF(AH247-TODAY()&lt;180,"Por vencer","Vigente"))))</f>
        <v/>
      </c>
      <c r="AJ247" s="14"/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3"/>
      <c r="AF248" s="10" t="str">
        <f aca="true">IF(A248="","",IF(AE248="","Sin probar",IF(TODAY()-AE248&gt;90,"Vencido (&gt;90 días)","OK")))</f>
        <v/>
      </c>
      <c r="AG248" s="13"/>
      <c r="AH248" s="13"/>
      <c r="AI248" s="10" t="str">
        <f aca="true">IF(A248="","",IF(AH248="","Sin dato",IF(AH248&lt;TODAY(),"SIN SOPORTE",IF(AH248-TODAY()&lt;180,"Por vencer","Vigente"))))</f>
        <v/>
      </c>
      <c r="AJ248" s="14"/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3"/>
      <c r="AF249" s="10" t="str">
        <f aca="true">IF(A249="","",IF(AE249="","Sin probar",IF(TODAY()-AE249&gt;90,"Vencido (&gt;90 días)","OK")))</f>
        <v/>
      </c>
      <c r="AG249" s="13"/>
      <c r="AH249" s="13"/>
      <c r="AI249" s="10" t="str">
        <f aca="true">IF(A249="","",IF(AH249="","Sin dato",IF(AH249&lt;TODAY(),"SIN SOPORTE",IF(AH249-TODAY()&lt;180,"Por vencer","Vigente"))))</f>
        <v/>
      </c>
      <c r="AJ249" s="14"/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3"/>
      <c r="AF250" s="10" t="str">
        <f aca="true">IF(A250="","",IF(AE250="","Sin probar",IF(TODAY()-AE250&gt;90,"Vencido (&gt;90 días)","OK")))</f>
        <v/>
      </c>
      <c r="AG250" s="13"/>
      <c r="AH250" s="13"/>
      <c r="AI250" s="10" t="str">
        <f aca="true">IF(A250="","",IF(AH250="","Sin dato",IF(AH250&lt;TODAY(),"SIN SOPORTE",IF(AH250-TODAY()&lt;180,"Por vencer","Vigente"))))</f>
        <v/>
      </c>
      <c r="AJ250" s="14"/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3"/>
      <c r="AF251" s="10" t="str">
        <f aca="true">IF(A251="","",IF(AE251="","Sin probar",IF(TODAY()-AE251&gt;90,"Vencido (&gt;90 días)","OK")))</f>
        <v/>
      </c>
      <c r="AG251" s="13"/>
      <c r="AH251" s="13"/>
      <c r="AI251" s="10" t="str">
        <f aca="true">IF(A251="","",IF(AH251="","Sin dato",IF(AH251&lt;TODAY(),"SIN SOPORTE",IF(AH251-TODAY()&lt;180,"Por vencer","Vigente"))))</f>
        <v/>
      </c>
      <c r="AJ251" s="14"/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3"/>
      <c r="AF252" s="10" t="str">
        <f aca="true">IF(A252="","",IF(AE252="","Sin probar",IF(TODAY()-AE252&gt;90,"Vencido (&gt;90 días)","OK")))</f>
        <v/>
      </c>
      <c r="AG252" s="13"/>
      <c r="AH252" s="13"/>
      <c r="AI252" s="10" t="str">
        <f aca="true">IF(A252="","",IF(AH252="","Sin dato",IF(AH252&lt;TODAY(),"SIN SOPORTE",IF(AH252-TODAY()&lt;180,"Por vencer","Vigente"))))</f>
        <v/>
      </c>
      <c r="AJ252" s="14"/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3"/>
      <c r="AF253" s="10" t="str">
        <f aca="true">IF(A253="","",IF(AE253="","Sin probar",IF(TODAY()-AE253&gt;90,"Vencido (&gt;90 días)","OK")))</f>
        <v/>
      </c>
      <c r="AG253" s="13"/>
      <c r="AH253" s="13"/>
      <c r="AI253" s="10" t="str">
        <f aca="true">IF(A253="","",IF(AH253="","Sin dato",IF(AH253&lt;TODAY(),"SIN SOPORTE",IF(AH253-TODAY()&lt;180,"Por vencer","Vigente"))))</f>
        <v/>
      </c>
      <c r="AJ253" s="14"/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3"/>
      <c r="AF254" s="10" t="str">
        <f aca="true">IF(A254="","",IF(AE254="","Sin probar",IF(TODAY()-AE254&gt;90,"Vencido (&gt;90 días)","OK")))</f>
        <v/>
      </c>
      <c r="AG254" s="13"/>
      <c r="AH254" s="13"/>
      <c r="AI254" s="10" t="str">
        <f aca="true">IF(A254="","",IF(AH254="","Sin dato",IF(AH254&lt;TODAY(),"SIN SOPORTE",IF(AH254-TODAY()&lt;180,"Por vencer","Vigente"))))</f>
        <v/>
      </c>
      <c r="AJ254" s="14"/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3"/>
      <c r="AF255" s="10" t="str">
        <f aca="true">IF(A255="","",IF(AE255="","Sin probar",IF(TODAY()-AE255&gt;90,"Vencido (&gt;90 días)","OK")))</f>
        <v/>
      </c>
      <c r="AG255" s="13"/>
      <c r="AH255" s="13"/>
      <c r="AI255" s="10" t="str">
        <f aca="true">IF(A255="","",IF(AH255="","Sin dato",IF(AH255&lt;TODAY(),"SIN SOPORTE",IF(AH255-TODAY()&lt;180,"Por vencer","Vigente"))))</f>
        <v/>
      </c>
      <c r="AJ255" s="14"/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3"/>
      <c r="AF256" s="10" t="str">
        <f aca="true">IF(A256="","",IF(AE256="","Sin probar",IF(TODAY()-AE256&gt;90,"Vencido (&gt;90 días)","OK")))</f>
        <v/>
      </c>
      <c r="AG256" s="13"/>
      <c r="AH256" s="13"/>
      <c r="AI256" s="10" t="str">
        <f aca="true">IF(A256="","",IF(AH256="","Sin dato",IF(AH256&lt;TODAY(),"SIN SOPORTE",IF(AH256-TODAY()&lt;180,"Por vencer","Vigente"))))</f>
        <v/>
      </c>
      <c r="AJ256" s="14"/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3"/>
      <c r="AF257" s="10" t="str">
        <f aca="true">IF(A257="","",IF(AE257="","Sin probar",IF(TODAY()-AE257&gt;90,"Vencido (&gt;90 días)","OK")))</f>
        <v/>
      </c>
      <c r="AG257" s="13"/>
      <c r="AH257" s="13"/>
      <c r="AI257" s="10" t="str">
        <f aca="true">IF(A257="","",IF(AH257="","Sin dato",IF(AH257&lt;TODAY(),"SIN SOPORTE",IF(AH257-TODAY()&lt;180,"Por vencer","Vigente"))))</f>
        <v/>
      </c>
      <c r="AJ257" s="14"/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3"/>
      <c r="AF258" s="10" t="str">
        <f aca="true">IF(A258="","",IF(AE258="","Sin probar",IF(TODAY()-AE258&gt;90,"Vencido (&gt;90 días)","OK")))</f>
        <v/>
      </c>
      <c r="AG258" s="13"/>
      <c r="AH258" s="13"/>
      <c r="AI258" s="10" t="str">
        <f aca="true">IF(A258="","",IF(AH258="","Sin dato",IF(AH258&lt;TODAY(),"SIN SOPORTE",IF(AH258-TODAY()&lt;180,"Por vencer","Vigente"))))</f>
        <v/>
      </c>
      <c r="AJ258" s="14"/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3"/>
      <c r="AF259" s="10" t="str">
        <f aca="true">IF(A259="","",IF(AE259="","Sin probar",IF(TODAY()-AE259&gt;90,"Vencido (&gt;90 días)","OK")))</f>
        <v/>
      </c>
      <c r="AG259" s="13"/>
      <c r="AH259" s="13"/>
      <c r="AI259" s="10" t="str">
        <f aca="true">IF(A259="","",IF(AH259="","Sin dato",IF(AH259&lt;TODAY(),"SIN SOPORTE",IF(AH259-TODAY()&lt;180,"Por vencer","Vigente"))))</f>
        <v/>
      </c>
      <c r="AJ259" s="14"/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3"/>
      <c r="AF260" s="10" t="str">
        <f aca="true">IF(A260="","",IF(AE260="","Sin probar",IF(TODAY()-AE260&gt;90,"Vencido (&gt;90 días)","OK")))</f>
        <v/>
      </c>
      <c r="AG260" s="13"/>
      <c r="AH260" s="13"/>
      <c r="AI260" s="10" t="str">
        <f aca="true">IF(A260="","",IF(AH260="","Sin dato",IF(AH260&lt;TODAY(),"SIN SOPORTE",IF(AH260-TODAY()&lt;180,"Por vencer","Vigente"))))</f>
        <v/>
      </c>
      <c r="AJ260" s="14"/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3"/>
      <c r="AF261" s="10" t="str">
        <f aca="true">IF(A261="","",IF(AE261="","Sin probar",IF(TODAY()-AE261&gt;90,"Vencido (&gt;90 días)","OK")))</f>
        <v/>
      </c>
      <c r="AG261" s="13"/>
      <c r="AH261" s="13"/>
      <c r="AI261" s="10" t="str">
        <f aca="true">IF(A261="","",IF(AH261="","Sin dato",IF(AH261&lt;TODAY(),"SIN SOPORTE",IF(AH261-TODAY()&lt;180,"Por vencer","Vigente"))))</f>
        <v/>
      </c>
      <c r="AJ261" s="14"/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3"/>
      <c r="AF262" s="10" t="str">
        <f aca="true">IF(A262="","",IF(AE262="","Sin probar",IF(TODAY()-AE262&gt;90,"Vencido (&gt;90 días)","OK")))</f>
        <v/>
      </c>
      <c r="AG262" s="13"/>
      <c r="AH262" s="13"/>
      <c r="AI262" s="10" t="str">
        <f aca="true">IF(A262="","",IF(AH262="","Sin dato",IF(AH262&lt;TODAY(),"SIN SOPORTE",IF(AH262-TODAY()&lt;180,"Por vencer","Vigente"))))</f>
        <v/>
      </c>
      <c r="AJ262" s="14"/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3"/>
      <c r="AF263" s="10" t="str">
        <f aca="true">IF(A263="","",IF(AE263="","Sin probar",IF(TODAY()-AE263&gt;90,"Vencido (&gt;90 días)","OK")))</f>
        <v/>
      </c>
      <c r="AG263" s="13"/>
      <c r="AH263" s="13"/>
      <c r="AI263" s="10" t="str">
        <f aca="true">IF(A263="","",IF(AH263="","Sin dato",IF(AH263&lt;TODAY(),"SIN SOPORTE",IF(AH263-TODAY()&lt;180,"Por vencer","Vigente"))))</f>
        <v/>
      </c>
      <c r="AJ263" s="14"/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3"/>
      <c r="AF264" s="10" t="str">
        <f aca="true">IF(A264="","",IF(AE264="","Sin probar",IF(TODAY()-AE264&gt;90,"Vencido (&gt;90 días)","OK")))</f>
        <v/>
      </c>
      <c r="AG264" s="13"/>
      <c r="AH264" s="13"/>
      <c r="AI264" s="10" t="str">
        <f aca="true">IF(A264="","",IF(AH264="","Sin dato",IF(AH264&lt;TODAY(),"SIN SOPORTE",IF(AH264-TODAY()&lt;180,"Por vencer","Vigente"))))</f>
        <v/>
      </c>
      <c r="AJ264" s="14"/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3"/>
      <c r="AF265" s="10" t="str">
        <f aca="true">IF(A265="","",IF(AE265="","Sin probar",IF(TODAY()-AE265&gt;90,"Vencido (&gt;90 días)","OK")))</f>
        <v/>
      </c>
      <c r="AG265" s="13"/>
      <c r="AH265" s="13"/>
      <c r="AI265" s="10" t="str">
        <f aca="true">IF(A265="","",IF(AH265="","Sin dato",IF(AH265&lt;TODAY(),"SIN SOPORTE",IF(AH265-TODAY()&lt;180,"Por vencer","Vigente"))))</f>
        <v/>
      </c>
      <c r="AJ265" s="14"/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3"/>
      <c r="AF266" s="10" t="str">
        <f aca="true">IF(A266="","",IF(AE266="","Sin probar",IF(TODAY()-AE266&gt;90,"Vencido (&gt;90 días)","OK")))</f>
        <v/>
      </c>
      <c r="AG266" s="13"/>
      <c r="AH266" s="13"/>
      <c r="AI266" s="10" t="str">
        <f aca="true">IF(A266="","",IF(AH266="","Sin dato",IF(AH266&lt;TODAY(),"SIN SOPORTE",IF(AH266-TODAY()&lt;180,"Por vencer","Vigente"))))</f>
        <v/>
      </c>
      <c r="AJ266" s="14"/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3"/>
      <c r="AF267" s="10" t="str">
        <f aca="true">IF(A267="","",IF(AE267="","Sin probar",IF(TODAY()-AE267&gt;90,"Vencido (&gt;90 días)","OK")))</f>
        <v/>
      </c>
      <c r="AG267" s="13"/>
      <c r="AH267" s="13"/>
      <c r="AI267" s="10" t="str">
        <f aca="true">IF(A267="","",IF(AH267="","Sin dato",IF(AH267&lt;TODAY(),"SIN SOPORTE",IF(AH267-TODAY()&lt;180,"Por vencer","Vigente"))))</f>
        <v/>
      </c>
      <c r="AJ267" s="14"/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3"/>
      <c r="AF268" s="10" t="str">
        <f aca="true">IF(A268="","",IF(AE268="","Sin probar",IF(TODAY()-AE268&gt;90,"Vencido (&gt;90 días)","OK")))</f>
        <v/>
      </c>
      <c r="AG268" s="13"/>
      <c r="AH268" s="13"/>
      <c r="AI268" s="10" t="str">
        <f aca="true">IF(A268="","",IF(AH268="","Sin dato",IF(AH268&lt;TODAY(),"SIN SOPORTE",IF(AH268-TODAY()&lt;180,"Por vencer","Vigente"))))</f>
        <v/>
      </c>
      <c r="AJ268" s="14"/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3"/>
      <c r="AF269" s="10" t="str">
        <f aca="true">IF(A269="","",IF(AE269="","Sin probar",IF(TODAY()-AE269&gt;90,"Vencido (&gt;90 días)","OK")))</f>
        <v/>
      </c>
      <c r="AG269" s="13"/>
      <c r="AH269" s="13"/>
      <c r="AI269" s="10" t="str">
        <f aca="true">IF(A269="","",IF(AH269="","Sin dato",IF(AH269&lt;TODAY(),"SIN SOPORTE",IF(AH269-TODAY()&lt;180,"Por vencer","Vigente"))))</f>
        <v/>
      </c>
      <c r="AJ269" s="14"/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3"/>
      <c r="AF270" s="10" t="str">
        <f aca="true">IF(A270="","",IF(AE270="","Sin probar",IF(TODAY()-AE270&gt;90,"Vencido (&gt;90 días)","OK")))</f>
        <v/>
      </c>
      <c r="AG270" s="13"/>
      <c r="AH270" s="13"/>
      <c r="AI270" s="10" t="str">
        <f aca="true">IF(A270="","",IF(AH270="","Sin dato",IF(AH270&lt;TODAY(),"SIN SOPORTE",IF(AH270-TODAY()&lt;180,"Por vencer","Vigente"))))</f>
        <v/>
      </c>
      <c r="AJ270" s="14"/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3"/>
      <c r="AF271" s="10" t="str">
        <f aca="true">IF(A271="","",IF(AE271="","Sin probar",IF(TODAY()-AE271&gt;90,"Vencido (&gt;90 días)","OK")))</f>
        <v/>
      </c>
      <c r="AG271" s="13"/>
      <c r="AH271" s="13"/>
      <c r="AI271" s="10" t="str">
        <f aca="true">IF(A271="","",IF(AH271="","Sin dato",IF(AH271&lt;TODAY(),"SIN SOPORTE",IF(AH271-TODAY()&lt;180,"Por vencer","Vigente"))))</f>
        <v/>
      </c>
      <c r="AJ271" s="14"/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3"/>
      <c r="AF272" s="10" t="str">
        <f aca="true">IF(A272="","",IF(AE272="","Sin probar",IF(TODAY()-AE272&gt;90,"Vencido (&gt;90 días)","OK")))</f>
        <v/>
      </c>
      <c r="AG272" s="13"/>
      <c r="AH272" s="13"/>
      <c r="AI272" s="10" t="str">
        <f aca="true">IF(A272="","",IF(AH272="","Sin dato",IF(AH272&lt;TODAY(),"SIN SOPORTE",IF(AH272-TODAY()&lt;180,"Por vencer","Vigente"))))</f>
        <v/>
      </c>
      <c r="AJ272" s="14"/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3"/>
      <c r="AF273" s="10" t="str">
        <f aca="true">IF(A273="","",IF(AE273="","Sin probar",IF(TODAY()-AE273&gt;90,"Vencido (&gt;90 días)","OK")))</f>
        <v/>
      </c>
      <c r="AG273" s="13"/>
      <c r="AH273" s="13"/>
      <c r="AI273" s="10" t="str">
        <f aca="true">IF(A273="","",IF(AH273="","Sin dato",IF(AH273&lt;TODAY(),"SIN SOPORTE",IF(AH273-TODAY()&lt;180,"Por vencer","Vigente"))))</f>
        <v/>
      </c>
      <c r="AJ273" s="14"/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3"/>
      <c r="AF274" s="10" t="str">
        <f aca="true">IF(A274="","",IF(AE274="","Sin probar",IF(TODAY()-AE274&gt;90,"Vencido (&gt;90 días)","OK")))</f>
        <v/>
      </c>
      <c r="AG274" s="13"/>
      <c r="AH274" s="13"/>
      <c r="AI274" s="10" t="str">
        <f aca="true">IF(A274="","",IF(AH274="","Sin dato",IF(AH274&lt;TODAY(),"SIN SOPORTE",IF(AH274-TODAY()&lt;180,"Por vencer","Vigente"))))</f>
        <v/>
      </c>
      <c r="AJ274" s="14"/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3"/>
      <c r="AF275" s="10" t="str">
        <f aca="true">IF(A275="","",IF(AE275="","Sin probar",IF(TODAY()-AE275&gt;90,"Vencido (&gt;90 días)","OK")))</f>
        <v/>
      </c>
      <c r="AG275" s="13"/>
      <c r="AH275" s="13"/>
      <c r="AI275" s="10" t="str">
        <f aca="true">IF(A275="","",IF(AH275="","Sin dato",IF(AH275&lt;TODAY(),"SIN SOPORTE",IF(AH275-TODAY()&lt;180,"Por vencer","Vigente"))))</f>
        <v/>
      </c>
      <c r="AJ275" s="14"/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3"/>
      <c r="AF276" s="10" t="str">
        <f aca="true">IF(A276="","",IF(AE276="","Sin probar",IF(TODAY()-AE276&gt;90,"Vencido (&gt;90 días)","OK")))</f>
        <v/>
      </c>
      <c r="AG276" s="13"/>
      <c r="AH276" s="13"/>
      <c r="AI276" s="10" t="str">
        <f aca="true">IF(A276="","",IF(AH276="","Sin dato",IF(AH276&lt;TODAY(),"SIN SOPORTE",IF(AH276-TODAY()&lt;180,"Por vencer","Vigente"))))</f>
        <v/>
      </c>
      <c r="AJ276" s="14"/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3"/>
      <c r="AF277" s="10" t="str">
        <f aca="true">IF(A277="","",IF(AE277="","Sin probar",IF(TODAY()-AE277&gt;90,"Vencido (&gt;90 días)","OK")))</f>
        <v/>
      </c>
      <c r="AG277" s="13"/>
      <c r="AH277" s="13"/>
      <c r="AI277" s="10" t="str">
        <f aca="true">IF(A277="","",IF(AH277="","Sin dato",IF(AH277&lt;TODAY(),"SIN SOPORTE",IF(AH277-TODAY()&lt;180,"Por vencer","Vigente"))))</f>
        <v/>
      </c>
      <c r="AJ277" s="14"/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3"/>
      <c r="AF278" s="10" t="str">
        <f aca="true">IF(A278="","",IF(AE278="","Sin probar",IF(TODAY()-AE278&gt;90,"Vencido (&gt;90 días)","OK")))</f>
        <v/>
      </c>
      <c r="AG278" s="13"/>
      <c r="AH278" s="13"/>
      <c r="AI278" s="10" t="str">
        <f aca="true">IF(A278="","",IF(AH278="","Sin dato",IF(AH278&lt;TODAY(),"SIN SOPORTE",IF(AH278-TODAY()&lt;180,"Por vencer","Vigente"))))</f>
        <v/>
      </c>
      <c r="AJ278" s="14"/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3"/>
      <c r="AF279" s="10" t="str">
        <f aca="true">IF(A279="","",IF(AE279="","Sin probar",IF(TODAY()-AE279&gt;90,"Vencido (&gt;90 días)","OK")))</f>
        <v/>
      </c>
      <c r="AG279" s="13"/>
      <c r="AH279" s="13"/>
      <c r="AI279" s="10" t="str">
        <f aca="true">IF(A279="","",IF(AH279="","Sin dato",IF(AH279&lt;TODAY(),"SIN SOPORTE",IF(AH279-TODAY()&lt;180,"Por vencer","Vigente"))))</f>
        <v/>
      </c>
      <c r="AJ279" s="14"/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3"/>
      <c r="AF280" s="10" t="str">
        <f aca="true">IF(A280="","",IF(AE280="","Sin probar",IF(TODAY()-AE280&gt;90,"Vencido (&gt;90 días)","OK")))</f>
        <v/>
      </c>
      <c r="AG280" s="13"/>
      <c r="AH280" s="13"/>
      <c r="AI280" s="10" t="str">
        <f aca="true">IF(A280="","",IF(AH280="","Sin dato",IF(AH280&lt;TODAY(),"SIN SOPORTE",IF(AH280-TODAY()&lt;180,"Por vencer","Vigente"))))</f>
        <v/>
      </c>
      <c r="AJ280" s="14"/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3"/>
      <c r="AF281" s="10" t="str">
        <f aca="true">IF(A281="","",IF(AE281="","Sin probar",IF(TODAY()-AE281&gt;90,"Vencido (&gt;90 días)","OK")))</f>
        <v/>
      </c>
      <c r="AG281" s="13"/>
      <c r="AH281" s="13"/>
      <c r="AI281" s="10" t="str">
        <f aca="true">IF(A281="","",IF(AH281="","Sin dato",IF(AH281&lt;TODAY(),"SIN SOPORTE",IF(AH281-TODAY()&lt;180,"Por vencer","Vigente"))))</f>
        <v/>
      </c>
      <c r="AJ281" s="14"/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3"/>
      <c r="AF282" s="10" t="str">
        <f aca="true">IF(A282="","",IF(AE282="","Sin probar",IF(TODAY()-AE282&gt;90,"Vencido (&gt;90 días)","OK")))</f>
        <v/>
      </c>
      <c r="AG282" s="13"/>
      <c r="AH282" s="13"/>
      <c r="AI282" s="10" t="str">
        <f aca="true">IF(A282="","",IF(AH282="","Sin dato",IF(AH282&lt;TODAY(),"SIN SOPORTE",IF(AH282-TODAY()&lt;180,"Por vencer","Vigente"))))</f>
        <v/>
      </c>
      <c r="AJ282" s="14"/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3"/>
      <c r="AF283" s="10" t="str">
        <f aca="true">IF(A283="","",IF(AE283="","Sin probar",IF(TODAY()-AE283&gt;90,"Vencido (&gt;90 días)","OK")))</f>
        <v/>
      </c>
      <c r="AG283" s="13"/>
      <c r="AH283" s="13"/>
      <c r="AI283" s="10" t="str">
        <f aca="true">IF(A283="","",IF(AH283="","Sin dato",IF(AH283&lt;TODAY(),"SIN SOPORTE",IF(AH283-TODAY()&lt;180,"Por vencer","Vigente"))))</f>
        <v/>
      </c>
      <c r="AJ283" s="14"/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3"/>
      <c r="AF284" s="10" t="str">
        <f aca="true">IF(A284="","",IF(AE284="","Sin probar",IF(TODAY()-AE284&gt;90,"Vencido (&gt;90 días)","OK")))</f>
        <v/>
      </c>
      <c r="AG284" s="13"/>
      <c r="AH284" s="13"/>
      <c r="AI284" s="10" t="str">
        <f aca="true">IF(A284="","",IF(AH284="","Sin dato",IF(AH284&lt;TODAY(),"SIN SOPORTE",IF(AH284-TODAY()&lt;180,"Por vencer","Vigente"))))</f>
        <v/>
      </c>
      <c r="AJ284" s="14"/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3"/>
      <c r="AF285" s="10" t="str">
        <f aca="true">IF(A285="","",IF(AE285="","Sin probar",IF(TODAY()-AE285&gt;90,"Vencido (&gt;90 días)","OK")))</f>
        <v/>
      </c>
      <c r="AG285" s="13"/>
      <c r="AH285" s="13"/>
      <c r="AI285" s="10" t="str">
        <f aca="true">IF(A285="","",IF(AH285="","Sin dato",IF(AH285&lt;TODAY(),"SIN SOPORTE",IF(AH285-TODAY()&lt;180,"Por vencer","Vigente"))))</f>
        <v/>
      </c>
      <c r="AJ285" s="14"/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3"/>
      <c r="AF286" s="10" t="str">
        <f aca="true">IF(A286="","",IF(AE286="","Sin probar",IF(TODAY()-AE286&gt;90,"Vencido (&gt;90 días)","OK")))</f>
        <v/>
      </c>
      <c r="AG286" s="13"/>
      <c r="AH286" s="13"/>
      <c r="AI286" s="10" t="str">
        <f aca="true">IF(A286="","",IF(AH286="","Sin dato",IF(AH286&lt;TODAY(),"SIN SOPORTE",IF(AH286-TODAY()&lt;180,"Por vencer","Vigente"))))</f>
        <v/>
      </c>
      <c r="AJ286" s="14"/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3"/>
      <c r="AF287" s="10" t="str">
        <f aca="true">IF(A287="","",IF(AE287="","Sin probar",IF(TODAY()-AE287&gt;90,"Vencido (&gt;90 días)","OK")))</f>
        <v/>
      </c>
      <c r="AG287" s="13"/>
      <c r="AH287" s="13"/>
      <c r="AI287" s="10" t="str">
        <f aca="true">IF(A287="","",IF(AH287="","Sin dato",IF(AH287&lt;TODAY(),"SIN SOPORTE",IF(AH287-TODAY()&lt;180,"Por vencer","Vigente"))))</f>
        <v/>
      </c>
      <c r="AJ287" s="14"/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3"/>
      <c r="AF288" s="10" t="str">
        <f aca="true">IF(A288="","",IF(AE288="","Sin probar",IF(TODAY()-AE288&gt;90,"Vencido (&gt;90 días)","OK")))</f>
        <v/>
      </c>
      <c r="AG288" s="13"/>
      <c r="AH288" s="13"/>
      <c r="AI288" s="10" t="str">
        <f aca="true">IF(A288="","",IF(AH288="","Sin dato",IF(AH288&lt;TODAY(),"SIN SOPORTE",IF(AH288-TODAY()&lt;180,"Por vencer","Vigente"))))</f>
        <v/>
      </c>
      <c r="AJ288" s="14"/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3"/>
      <c r="AF289" s="10" t="str">
        <f aca="true">IF(A289="","",IF(AE289="","Sin probar",IF(TODAY()-AE289&gt;90,"Vencido (&gt;90 días)","OK")))</f>
        <v/>
      </c>
      <c r="AG289" s="13"/>
      <c r="AH289" s="13"/>
      <c r="AI289" s="10" t="str">
        <f aca="true">IF(A289="","",IF(AH289="","Sin dato",IF(AH289&lt;TODAY(),"SIN SOPORTE",IF(AH289-TODAY()&lt;180,"Por vencer","Vigente"))))</f>
        <v/>
      </c>
      <c r="AJ289" s="14"/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3"/>
      <c r="AF290" s="10" t="str">
        <f aca="true">IF(A290="","",IF(AE290="","Sin probar",IF(TODAY()-AE290&gt;90,"Vencido (&gt;90 días)","OK")))</f>
        <v/>
      </c>
      <c r="AG290" s="13"/>
      <c r="AH290" s="13"/>
      <c r="AI290" s="10" t="str">
        <f aca="true">IF(A290="","",IF(AH290="","Sin dato",IF(AH290&lt;TODAY(),"SIN SOPORTE",IF(AH290-TODAY()&lt;180,"Por vencer","Vigente"))))</f>
        <v/>
      </c>
      <c r="AJ290" s="14"/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3"/>
      <c r="AF291" s="10" t="str">
        <f aca="true">IF(A291="","",IF(AE291="","Sin probar",IF(TODAY()-AE291&gt;90,"Vencido (&gt;90 días)","OK")))</f>
        <v/>
      </c>
      <c r="AG291" s="13"/>
      <c r="AH291" s="13"/>
      <c r="AI291" s="10" t="str">
        <f aca="true">IF(A291="","",IF(AH291="","Sin dato",IF(AH291&lt;TODAY(),"SIN SOPORTE",IF(AH291-TODAY()&lt;180,"Por vencer","Vigente"))))</f>
        <v/>
      </c>
      <c r="AJ291" s="14"/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3"/>
      <c r="AF292" s="10" t="str">
        <f aca="true">IF(A292="","",IF(AE292="","Sin probar",IF(TODAY()-AE292&gt;90,"Vencido (&gt;90 días)","OK")))</f>
        <v/>
      </c>
      <c r="AG292" s="13"/>
      <c r="AH292" s="13"/>
      <c r="AI292" s="10" t="str">
        <f aca="true">IF(A292="","",IF(AH292="","Sin dato",IF(AH292&lt;TODAY(),"SIN SOPORTE",IF(AH292-TODAY()&lt;180,"Por vencer","Vigente"))))</f>
        <v/>
      </c>
      <c r="AJ292" s="14"/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3"/>
      <c r="AF293" s="10" t="str">
        <f aca="true">IF(A293="","",IF(AE293="","Sin probar",IF(TODAY()-AE293&gt;90,"Vencido (&gt;90 días)","OK")))</f>
        <v/>
      </c>
      <c r="AG293" s="13"/>
      <c r="AH293" s="13"/>
      <c r="AI293" s="10" t="str">
        <f aca="true">IF(A293="","",IF(AH293="","Sin dato",IF(AH293&lt;TODAY(),"SIN SOPORTE",IF(AH293-TODAY()&lt;180,"Por vencer","Vigente"))))</f>
        <v/>
      </c>
      <c r="AJ293" s="14"/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3"/>
      <c r="AF294" s="10" t="str">
        <f aca="true">IF(A294="","",IF(AE294="","Sin probar",IF(TODAY()-AE294&gt;90,"Vencido (&gt;90 días)","OK")))</f>
        <v/>
      </c>
      <c r="AG294" s="13"/>
      <c r="AH294" s="13"/>
      <c r="AI294" s="10" t="str">
        <f aca="true">IF(A294="","",IF(AH294="","Sin dato",IF(AH294&lt;TODAY(),"SIN SOPORTE",IF(AH294-TODAY()&lt;180,"Por vencer","Vigente"))))</f>
        <v/>
      </c>
      <c r="AJ294" s="14"/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3"/>
      <c r="AF295" s="10" t="str">
        <f aca="true">IF(A295="","",IF(AE295="","Sin probar",IF(TODAY()-AE295&gt;90,"Vencido (&gt;90 días)","OK")))</f>
        <v/>
      </c>
      <c r="AG295" s="13"/>
      <c r="AH295" s="13"/>
      <c r="AI295" s="10" t="str">
        <f aca="true">IF(A295="","",IF(AH295="","Sin dato",IF(AH295&lt;TODAY(),"SIN SOPORTE",IF(AH295-TODAY()&lt;180,"Por vencer","Vigente"))))</f>
        <v/>
      </c>
      <c r="AJ295" s="14"/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3"/>
      <c r="AF296" s="10" t="str">
        <f aca="true">IF(A296="","",IF(AE296="","Sin probar",IF(TODAY()-AE296&gt;90,"Vencido (&gt;90 días)","OK")))</f>
        <v/>
      </c>
      <c r="AG296" s="13"/>
      <c r="AH296" s="13"/>
      <c r="AI296" s="10" t="str">
        <f aca="true">IF(A296="","",IF(AH296="","Sin dato",IF(AH296&lt;TODAY(),"SIN SOPORTE",IF(AH296-TODAY()&lt;180,"Por vencer","Vigente"))))</f>
        <v/>
      </c>
      <c r="AJ296" s="14"/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3"/>
      <c r="AF297" s="10" t="str">
        <f aca="true">IF(A297="","",IF(AE297="","Sin probar",IF(TODAY()-AE297&gt;90,"Vencido (&gt;90 días)","OK")))</f>
        <v/>
      </c>
      <c r="AG297" s="13"/>
      <c r="AH297" s="13"/>
      <c r="AI297" s="10" t="str">
        <f aca="true">IF(A297="","",IF(AH297="","Sin dato",IF(AH297&lt;TODAY(),"SIN SOPORTE",IF(AH297-TODAY()&lt;180,"Por vencer","Vigente"))))</f>
        <v/>
      </c>
      <c r="AJ297" s="14"/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3"/>
      <c r="AF298" s="10" t="str">
        <f aca="true">IF(A298="","",IF(AE298="","Sin probar",IF(TODAY()-AE298&gt;90,"Vencido (&gt;90 días)","OK")))</f>
        <v/>
      </c>
      <c r="AG298" s="13"/>
      <c r="AH298" s="13"/>
      <c r="AI298" s="10" t="str">
        <f aca="true">IF(A298="","",IF(AH298="","Sin dato",IF(AH298&lt;TODAY(),"SIN SOPORTE",IF(AH298-TODAY()&lt;180,"Por vencer","Vigente"))))</f>
        <v/>
      </c>
      <c r="AJ298" s="14"/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3"/>
      <c r="AF299" s="10" t="str">
        <f aca="true">IF(A299="","",IF(AE299="","Sin probar",IF(TODAY()-AE299&gt;90,"Vencido (&gt;90 días)","OK")))</f>
        <v/>
      </c>
      <c r="AG299" s="13"/>
      <c r="AH299" s="13"/>
      <c r="AI299" s="10" t="str">
        <f aca="true">IF(A299="","",IF(AH299="","Sin dato",IF(AH299&lt;TODAY(),"SIN SOPORTE",IF(AH299-TODAY()&lt;180,"Por vencer","Vigente"))))</f>
        <v/>
      </c>
      <c r="AJ299" s="14"/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3"/>
      <c r="AF300" s="10" t="str">
        <f aca="true">IF(A300="","",IF(AE300="","Sin probar",IF(TODAY()-AE300&gt;90,"Vencido (&gt;90 días)","OK")))</f>
        <v/>
      </c>
      <c r="AG300" s="13"/>
      <c r="AH300" s="13"/>
      <c r="AI300" s="10" t="str">
        <f aca="true">IF(A300="","",IF(AH300="","Sin dato",IF(AH300&lt;TODAY(),"SIN SOPORTE",IF(AH300-TODAY()&lt;180,"Por vencer","Vigente"))))</f>
        <v/>
      </c>
      <c r="AJ300" s="14"/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3"/>
      <c r="AF301" s="10" t="str">
        <f aca="true">IF(A301="","",IF(AE301="","Sin probar",IF(TODAY()-AE301&gt;90,"Vencido (&gt;90 días)","OK")))</f>
        <v/>
      </c>
      <c r="AG301" s="13"/>
      <c r="AH301" s="13"/>
      <c r="AI301" s="10" t="str">
        <f aca="true">IF(A301="","",IF(AH301="","Sin dato",IF(AH301&lt;TODAY(),"SIN SOPORTE",IF(AH301-TODAY()&lt;180,"Por vencer","Vigente"))))</f>
        <v/>
      </c>
      <c r="AJ301" s="14"/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3"/>
      <c r="AF302" s="10" t="str">
        <f aca="true">IF(A302="","",IF(AE302="","Sin probar",IF(TODAY()-AE302&gt;90,"Vencido (&gt;90 días)","OK")))</f>
        <v/>
      </c>
      <c r="AG302" s="13"/>
      <c r="AH302" s="13"/>
      <c r="AI302" s="10" t="str">
        <f aca="true">IF(A302="","",IF(AH302="","Sin dato",IF(AH302&lt;TODAY(),"SIN SOPORTE",IF(AH302-TODAY()&lt;180,"Por vencer","Vigente"))))</f>
        <v/>
      </c>
      <c r="AJ302" s="14"/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3"/>
      <c r="AF303" s="10" t="str">
        <f aca="true">IF(A303="","",IF(AE303="","Sin probar",IF(TODAY()-AE303&gt;90,"Vencido (&gt;90 días)","OK")))</f>
        <v/>
      </c>
      <c r="AG303" s="13"/>
      <c r="AH303" s="13"/>
      <c r="AI303" s="10" t="str">
        <f aca="true">IF(A303="","",IF(AH303="","Sin dato",IF(AH303&lt;TODAY(),"SIN SOPORTE",IF(AH303-TODAY()&lt;180,"Por vencer","Vigente"))))</f>
        <v/>
      </c>
      <c r="AJ303" s="14"/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3"/>
      <c r="AF304" s="10" t="str">
        <f aca="true">IF(A304="","",IF(AE304="","Sin probar",IF(TODAY()-AE304&gt;90,"Vencido (&gt;90 días)","OK")))</f>
        <v/>
      </c>
      <c r="AG304" s="13"/>
      <c r="AH304" s="13"/>
      <c r="AI304" s="10" t="str">
        <f aca="true">IF(A304="","",IF(AH304="","Sin dato",IF(AH304&lt;TODAY(),"SIN SOPORTE",IF(AH304-TODAY()&lt;180,"Por vencer","Vigente"))))</f>
        <v/>
      </c>
      <c r="AJ304" s="14"/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3"/>
      <c r="AF305" s="10" t="str">
        <f aca="true">IF(A305="","",IF(AE305="","Sin probar",IF(TODAY()-AE305&gt;90,"Vencido (&gt;90 días)","OK")))</f>
        <v/>
      </c>
      <c r="AG305" s="13"/>
      <c r="AH305" s="13"/>
      <c r="AI305" s="10" t="str">
        <f aca="true">IF(A305="","",IF(AH305="","Sin dato",IF(AH305&lt;TODAY(),"SIN SOPORTE",IF(AH305-TODAY()&lt;180,"Por vencer","Vigente"))))</f>
        <v/>
      </c>
      <c r="AJ305" s="14"/>
    </row>
    <row r="306" customFormat="false" ht="15" hidden="false" customHeight="fals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3"/>
      <c r="AF306" s="10" t="str">
        <f aca="true">IF(A306="","",IF(AE306="","Sin probar",IF(TODAY()-AE306&gt;90,"Vencido (&gt;90 días)","OK")))</f>
        <v/>
      </c>
      <c r="AG306" s="13"/>
      <c r="AH306" s="13"/>
      <c r="AI306" s="10" t="str">
        <f aca="true">IF(A306="","",IF(AH306="","Sin dato",IF(AH306&lt;TODAY(),"SIN SOPORTE",IF(AH306-TODAY()&lt;180,"Por vencer","Vigente"))))</f>
        <v/>
      </c>
      <c r="AJ306" s="14"/>
    </row>
    <row r="307" customFormat="false" ht="15" hidden="false" customHeight="fals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3"/>
      <c r="AF307" s="10" t="str">
        <f aca="true">IF(A307="","",IF(AE307="","Sin probar",IF(TODAY()-AE307&gt;90,"Vencido (&gt;90 días)","OK")))</f>
        <v/>
      </c>
      <c r="AG307" s="13"/>
      <c r="AH307" s="13"/>
      <c r="AI307" s="10" t="str">
        <f aca="true">IF(A307="","",IF(AH307="","Sin dato",IF(AH307&lt;TODAY(),"SIN SOPORTE",IF(AH307-TODAY()&lt;180,"Por vencer","Vigente"))))</f>
        <v/>
      </c>
      <c r="AJ307" s="14"/>
    </row>
    <row r="308" customFormat="false" ht="15" hidden="false" customHeight="fals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3"/>
      <c r="AF308" s="10" t="str">
        <f aca="true">IF(A308="","",IF(AE308="","Sin probar",IF(TODAY()-AE308&gt;90,"Vencido (&gt;90 días)","OK")))</f>
        <v/>
      </c>
      <c r="AG308" s="13"/>
      <c r="AH308" s="13"/>
      <c r="AI308" s="10" t="str">
        <f aca="true">IF(A308="","",IF(AH308="","Sin dato",IF(AH308&lt;TODAY(),"SIN SOPORTE",IF(AH308-TODAY()&lt;180,"Por vencer","Vigente"))))</f>
        <v/>
      </c>
      <c r="AJ308" s="14"/>
    </row>
    <row r="309" customFormat="false" ht="15" hidden="false" customHeight="fals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3"/>
      <c r="AF309" s="10" t="str">
        <f aca="true">IF(A309="","",IF(AE309="","Sin probar",IF(TODAY()-AE309&gt;90,"Vencido (&gt;90 días)","OK")))</f>
        <v/>
      </c>
      <c r="AG309" s="13"/>
      <c r="AH309" s="13"/>
      <c r="AI309" s="10" t="str">
        <f aca="true">IF(A309="","",IF(AH309="","Sin dato",IF(AH309&lt;TODAY(),"SIN SOPORTE",IF(AH309-TODAY()&lt;180,"Por vencer","Vigente"))))</f>
        <v/>
      </c>
      <c r="AJ309" s="14"/>
    </row>
    <row r="310" customFormat="false" ht="15" hidden="false" customHeight="fals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3"/>
      <c r="AF310" s="10" t="str">
        <f aca="true">IF(A310="","",IF(AE310="","Sin probar",IF(TODAY()-AE310&gt;90,"Vencido (&gt;90 días)","OK")))</f>
        <v/>
      </c>
      <c r="AG310" s="13"/>
      <c r="AH310" s="13"/>
      <c r="AI310" s="10" t="str">
        <f aca="true">IF(A310="","",IF(AH310="","Sin dato",IF(AH310&lt;TODAY(),"SIN SOPORTE",IF(AH310-TODAY()&lt;180,"Por vencer","Vigente"))))</f>
        <v/>
      </c>
      <c r="AJ310" s="14"/>
    </row>
    <row r="311" customFormat="false" ht="15" hidden="false" customHeight="fals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3"/>
      <c r="AF311" s="10" t="str">
        <f aca="true">IF(A311="","",IF(AE311="","Sin probar",IF(TODAY()-AE311&gt;90,"Vencido (&gt;90 días)","OK")))</f>
        <v/>
      </c>
      <c r="AG311" s="13"/>
      <c r="AH311" s="13"/>
      <c r="AI311" s="10" t="str">
        <f aca="true">IF(A311="","",IF(AH311="","Sin dato",IF(AH311&lt;TODAY(),"SIN SOPORTE",IF(AH311-TODAY()&lt;180,"Por vencer","Vigente"))))</f>
        <v/>
      </c>
      <c r="AJ311" s="14"/>
    </row>
    <row r="312" customFormat="false" ht="15" hidden="false" customHeight="fals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3"/>
      <c r="AF312" s="10" t="str">
        <f aca="true">IF(A312="","",IF(AE312="","Sin probar",IF(TODAY()-AE312&gt;90,"Vencido (&gt;90 días)","OK")))</f>
        <v/>
      </c>
      <c r="AG312" s="13"/>
      <c r="AH312" s="13"/>
      <c r="AI312" s="10" t="str">
        <f aca="true">IF(A312="","",IF(AH312="","Sin dato",IF(AH312&lt;TODAY(),"SIN SOPORTE",IF(AH312-TODAY()&lt;180,"Por vencer","Vigente"))))</f>
        <v/>
      </c>
      <c r="AJ312" s="14"/>
    </row>
    <row r="313" customFormat="false" ht="15" hidden="false" customHeight="fals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3"/>
      <c r="AF313" s="10" t="str">
        <f aca="true">IF(A313="","",IF(AE313="","Sin probar",IF(TODAY()-AE313&gt;90,"Vencido (&gt;90 días)","OK")))</f>
        <v/>
      </c>
      <c r="AG313" s="13"/>
      <c r="AH313" s="13"/>
      <c r="AI313" s="10" t="str">
        <f aca="true">IF(A313="","",IF(AH313="","Sin dato",IF(AH313&lt;TODAY(),"SIN SOPORTE",IF(AH313-TODAY()&lt;180,"Por vencer","Vigente"))))</f>
        <v/>
      </c>
      <c r="AJ313" s="14"/>
    </row>
    <row r="314" customFormat="false" ht="15" hidden="false" customHeight="fals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3"/>
      <c r="AF314" s="10" t="str">
        <f aca="true">IF(A314="","",IF(AE314="","Sin probar",IF(TODAY()-AE314&gt;90,"Vencido (&gt;90 días)","OK")))</f>
        <v/>
      </c>
      <c r="AG314" s="13"/>
      <c r="AH314" s="13"/>
      <c r="AI314" s="10" t="str">
        <f aca="true">IF(A314="","",IF(AH314="","Sin dato",IF(AH314&lt;TODAY(),"SIN SOPORTE",IF(AH314-TODAY()&lt;180,"Por vencer","Vigente"))))</f>
        <v/>
      </c>
      <c r="AJ314" s="14"/>
    </row>
    <row r="315" customFormat="false" ht="15" hidden="false" customHeight="fals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3"/>
      <c r="AF315" s="10" t="str">
        <f aca="true">IF(A315="","",IF(AE315="","Sin probar",IF(TODAY()-AE315&gt;90,"Vencido (&gt;90 días)","OK")))</f>
        <v/>
      </c>
      <c r="AG315" s="13"/>
      <c r="AH315" s="13"/>
      <c r="AI315" s="10" t="str">
        <f aca="true">IF(A315="","",IF(AH315="","Sin dato",IF(AH315&lt;TODAY(),"SIN SOPORTE",IF(AH315-TODAY()&lt;180,"Por vencer","Vigente"))))</f>
        <v/>
      </c>
      <c r="AJ315" s="14"/>
    </row>
    <row r="316" customFormat="false" ht="15" hidden="false" customHeight="fals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3"/>
      <c r="AF316" s="10" t="str">
        <f aca="true">IF(A316="","",IF(AE316="","Sin probar",IF(TODAY()-AE316&gt;90,"Vencido (&gt;90 días)","OK")))</f>
        <v/>
      </c>
      <c r="AG316" s="13"/>
      <c r="AH316" s="13"/>
      <c r="AI316" s="10" t="str">
        <f aca="true">IF(A316="","",IF(AH316="","Sin dato",IF(AH316&lt;TODAY(),"SIN SOPORTE",IF(AH316-TODAY()&lt;180,"Por vencer","Vigente"))))</f>
        <v/>
      </c>
      <c r="AJ316" s="14"/>
    </row>
    <row r="317" customFormat="false" ht="15" hidden="false" customHeight="fals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3"/>
      <c r="AF317" s="10" t="str">
        <f aca="true">IF(A317="","",IF(AE317="","Sin probar",IF(TODAY()-AE317&gt;90,"Vencido (&gt;90 días)","OK")))</f>
        <v/>
      </c>
      <c r="AG317" s="13"/>
      <c r="AH317" s="13"/>
      <c r="AI317" s="10" t="str">
        <f aca="true">IF(A317="","",IF(AH317="","Sin dato",IF(AH317&lt;TODAY(),"SIN SOPORTE",IF(AH317-TODAY()&lt;180,"Por vencer","Vigente"))))</f>
        <v/>
      </c>
      <c r="AJ317" s="14"/>
    </row>
    <row r="318" customFormat="false" ht="15" hidden="false" customHeight="fals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3"/>
      <c r="AF318" s="10" t="str">
        <f aca="true">IF(A318="","",IF(AE318="","Sin probar",IF(TODAY()-AE318&gt;90,"Vencido (&gt;90 días)","OK")))</f>
        <v/>
      </c>
      <c r="AG318" s="13"/>
      <c r="AH318" s="13"/>
      <c r="AI318" s="10" t="str">
        <f aca="true">IF(A318="","",IF(AH318="","Sin dato",IF(AH318&lt;TODAY(),"SIN SOPORTE",IF(AH318-TODAY()&lt;180,"Por vencer","Vigente"))))</f>
        <v/>
      </c>
      <c r="AJ318" s="14"/>
    </row>
    <row r="319" customFormat="false" ht="15" hidden="false" customHeight="fals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3"/>
      <c r="AF319" s="10" t="str">
        <f aca="true">IF(A319="","",IF(AE319="","Sin probar",IF(TODAY()-AE319&gt;90,"Vencido (&gt;90 días)","OK")))</f>
        <v/>
      </c>
      <c r="AG319" s="13"/>
      <c r="AH319" s="13"/>
      <c r="AI319" s="10" t="str">
        <f aca="true">IF(A319="","",IF(AH319="","Sin dato",IF(AH319&lt;TODAY(),"SIN SOPORTE",IF(AH319-TODAY()&lt;180,"Por vencer","Vigente"))))</f>
        <v/>
      </c>
      <c r="AJ319" s="14"/>
    </row>
    <row r="320" customFormat="false" ht="15" hidden="false" customHeight="fals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3"/>
      <c r="AF320" s="10" t="str">
        <f aca="true">IF(A320="","",IF(AE320="","Sin probar",IF(TODAY()-AE320&gt;90,"Vencido (&gt;90 días)","OK")))</f>
        <v/>
      </c>
      <c r="AG320" s="13"/>
      <c r="AH320" s="13"/>
      <c r="AI320" s="10" t="str">
        <f aca="true">IF(A320="","",IF(AH320="","Sin dato",IF(AH320&lt;TODAY(),"SIN SOPORTE",IF(AH320-TODAY()&lt;180,"Por vencer","Vigente"))))</f>
        <v/>
      </c>
      <c r="AJ320" s="14"/>
    </row>
    <row r="321" customFormat="false" ht="15" hidden="false" customHeight="fals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3"/>
      <c r="AF321" s="10" t="str">
        <f aca="true">IF(A321="","",IF(AE321="","Sin probar",IF(TODAY()-AE321&gt;90,"Vencido (&gt;90 días)","OK")))</f>
        <v/>
      </c>
      <c r="AG321" s="13"/>
      <c r="AH321" s="13"/>
      <c r="AI321" s="10" t="str">
        <f aca="true">IF(A321="","",IF(AH321="","Sin dato",IF(AH321&lt;TODAY(),"SIN SOPORTE",IF(AH321-TODAY()&lt;180,"Por vencer","Vigente"))))</f>
        <v/>
      </c>
      <c r="AJ321" s="14"/>
    </row>
    <row r="322" customFormat="false" ht="15" hidden="false" customHeight="fals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3"/>
      <c r="AF322" s="10" t="str">
        <f aca="true">IF(A322="","",IF(AE322="","Sin probar",IF(TODAY()-AE322&gt;90,"Vencido (&gt;90 días)","OK")))</f>
        <v/>
      </c>
      <c r="AG322" s="13"/>
      <c r="AH322" s="13"/>
      <c r="AI322" s="10" t="str">
        <f aca="true">IF(A322="","",IF(AH322="","Sin dato",IF(AH322&lt;TODAY(),"SIN SOPORTE",IF(AH322-TODAY()&lt;180,"Por vencer","Vigente"))))</f>
        <v/>
      </c>
      <c r="AJ322" s="14"/>
    </row>
    <row r="323" customFormat="false" ht="15" hidden="false" customHeight="fals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3"/>
      <c r="AF323" s="10" t="str">
        <f aca="true">IF(A323="","",IF(AE323="","Sin probar",IF(TODAY()-AE323&gt;90,"Vencido (&gt;90 días)","OK")))</f>
        <v/>
      </c>
      <c r="AG323" s="13"/>
      <c r="AH323" s="13"/>
      <c r="AI323" s="10" t="str">
        <f aca="true">IF(A323="","",IF(AH323="","Sin dato",IF(AH323&lt;TODAY(),"SIN SOPORTE",IF(AH323-TODAY()&lt;180,"Por vencer","Vigente"))))</f>
        <v/>
      </c>
      <c r="AJ323" s="14"/>
    </row>
    <row r="324" customFormat="false" ht="15" hidden="false" customHeight="fals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3"/>
      <c r="AF324" s="10" t="str">
        <f aca="true">IF(A324="","",IF(AE324="","Sin probar",IF(TODAY()-AE324&gt;90,"Vencido (&gt;90 días)","OK")))</f>
        <v/>
      </c>
      <c r="AG324" s="13"/>
      <c r="AH324" s="13"/>
      <c r="AI324" s="10" t="str">
        <f aca="true">IF(A324="","",IF(AH324="","Sin dato",IF(AH324&lt;TODAY(),"SIN SOPORTE",IF(AH324-TODAY()&lt;180,"Por vencer","Vigente"))))</f>
        <v/>
      </c>
      <c r="AJ324" s="14"/>
    </row>
    <row r="325" customFormat="false" ht="15" hidden="false" customHeight="fals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3"/>
      <c r="AF325" s="10" t="str">
        <f aca="true">IF(A325="","",IF(AE325="","Sin probar",IF(TODAY()-AE325&gt;90,"Vencido (&gt;90 días)","OK")))</f>
        <v/>
      </c>
      <c r="AG325" s="13"/>
      <c r="AH325" s="13"/>
      <c r="AI325" s="10" t="str">
        <f aca="true">IF(A325="","",IF(AH325="","Sin dato",IF(AH325&lt;TODAY(),"SIN SOPORTE",IF(AH325-TODAY()&lt;180,"Por vencer","Vigente"))))</f>
        <v/>
      </c>
      <c r="AJ325" s="14"/>
    </row>
    <row r="326" customFormat="false" ht="15" hidden="false" customHeight="fals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3"/>
      <c r="AF326" s="10" t="str">
        <f aca="true">IF(A326="","",IF(AE326="","Sin probar",IF(TODAY()-AE326&gt;90,"Vencido (&gt;90 días)","OK")))</f>
        <v/>
      </c>
      <c r="AG326" s="13"/>
      <c r="AH326" s="13"/>
      <c r="AI326" s="10" t="str">
        <f aca="true">IF(A326="","",IF(AH326="","Sin dato",IF(AH326&lt;TODAY(),"SIN SOPORTE",IF(AH326-TODAY()&lt;180,"Por vencer","Vigente"))))</f>
        <v/>
      </c>
      <c r="AJ326" s="14"/>
    </row>
    <row r="327" customFormat="false" ht="15" hidden="false" customHeight="fals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3"/>
      <c r="AF327" s="10" t="str">
        <f aca="true">IF(A327="","",IF(AE327="","Sin probar",IF(TODAY()-AE327&gt;90,"Vencido (&gt;90 días)","OK")))</f>
        <v/>
      </c>
      <c r="AG327" s="13"/>
      <c r="AH327" s="13"/>
      <c r="AI327" s="10" t="str">
        <f aca="true">IF(A327="","",IF(AH327="","Sin dato",IF(AH327&lt;TODAY(),"SIN SOPORTE",IF(AH327-TODAY()&lt;180,"Por vencer","Vigente"))))</f>
        <v/>
      </c>
      <c r="AJ327" s="14"/>
    </row>
    <row r="328" customFormat="false" ht="15" hidden="false" customHeight="fals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3"/>
      <c r="AF328" s="10" t="str">
        <f aca="true">IF(A328="","",IF(AE328="","Sin probar",IF(TODAY()-AE328&gt;90,"Vencido (&gt;90 días)","OK")))</f>
        <v/>
      </c>
      <c r="AG328" s="13"/>
      <c r="AH328" s="13"/>
      <c r="AI328" s="10" t="str">
        <f aca="true">IF(A328="","",IF(AH328="","Sin dato",IF(AH328&lt;TODAY(),"SIN SOPORTE",IF(AH328-TODAY()&lt;180,"Por vencer","Vigente"))))</f>
        <v/>
      </c>
      <c r="AJ328" s="14"/>
    </row>
    <row r="329" customFormat="false" ht="15" hidden="false" customHeight="fals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3"/>
      <c r="AF329" s="10" t="str">
        <f aca="true">IF(A329="","",IF(AE329="","Sin probar",IF(TODAY()-AE329&gt;90,"Vencido (&gt;90 días)","OK")))</f>
        <v/>
      </c>
      <c r="AG329" s="13"/>
      <c r="AH329" s="13"/>
      <c r="AI329" s="10" t="str">
        <f aca="true">IF(A329="","",IF(AH329="","Sin dato",IF(AH329&lt;TODAY(),"SIN SOPORTE",IF(AH329-TODAY()&lt;180,"Por vencer","Vigente"))))</f>
        <v/>
      </c>
      <c r="AJ329" s="14"/>
    </row>
    <row r="330" customFormat="false" ht="15" hidden="false" customHeight="fals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3"/>
      <c r="AF330" s="10" t="str">
        <f aca="true">IF(A330="","",IF(AE330="","Sin probar",IF(TODAY()-AE330&gt;90,"Vencido (&gt;90 días)","OK")))</f>
        <v/>
      </c>
      <c r="AG330" s="13"/>
      <c r="AH330" s="13"/>
      <c r="AI330" s="10" t="str">
        <f aca="true">IF(A330="","",IF(AH330="","Sin dato",IF(AH330&lt;TODAY(),"SIN SOPORTE",IF(AH330-TODAY()&lt;180,"Por vencer","Vigente"))))</f>
        <v/>
      </c>
      <c r="AJ330" s="14"/>
    </row>
    <row r="331" customFormat="false" ht="15" hidden="false" customHeight="fals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3"/>
      <c r="AF331" s="10" t="str">
        <f aca="true">IF(A331="","",IF(AE331="","Sin probar",IF(TODAY()-AE331&gt;90,"Vencido (&gt;90 días)","OK")))</f>
        <v/>
      </c>
      <c r="AG331" s="13"/>
      <c r="AH331" s="13"/>
      <c r="AI331" s="10" t="str">
        <f aca="true">IF(A331="","",IF(AH331="","Sin dato",IF(AH331&lt;TODAY(),"SIN SOPORTE",IF(AH331-TODAY()&lt;180,"Por vencer","Vigente"))))</f>
        <v/>
      </c>
      <c r="AJ331" s="14"/>
    </row>
    <row r="332" customFormat="false" ht="15" hidden="false" customHeight="fals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3"/>
      <c r="AF332" s="10" t="str">
        <f aca="true">IF(A332="","",IF(AE332="","Sin probar",IF(TODAY()-AE332&gt;90,"Vencido (&gt;90 días)","OK")))</f>
        <v/>
      </c>
      <c r="AG332" s="13"/>
      <c r="AH332" s="13"/>
      <c r="AI332" s="10" t="str">
        <f aca="true">IF(A332="","",IF(AH332="","Sin dato",IF(AH332&lt;TODAY(),"SIN SOPORTE",IF(AH332-TODAY()&lt;180,"Por vencer","Vigente"))))</f>
        <v/>
      </c>
      <c r="AJ332" s="14"/>
    </row>
    <row r="333" customFormat="false" ht="15" hidden="false" customHeight="fals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3"/>
      <c r="AF333" s="10" t="str">
        <f aca="true">IF(A333="","",IF(AE333="","Sin probar",IF(TODAY()-AE333&gt;90,"Vencido (&gt;90 días)","OK")))</f>
        <v/>
      </c>
      <c r="AG333" s="13"/>
      <c r="AH333" s="13"/>
      <c r="AI333" s="10" t="str">
        <f aca="true">IF(A333="","",IF(AH333="","Sin dato",IF(AH333&lt;TODAY(),"SIN SOPORTE",IF(AH333-TODAY()&lt;180,"Por vencer","Vigente"))))</f>
        <v/>
      </c>
      <c r="AJ333" s="14"/>
    </row>
    <row r="334" customFormat="false" ht="15" hidden="false" customHeight="fals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3"/>
      <c r="AF334" s="10" t="str">
        <f aca="true">IF(A334="","",IF(AE334="","Sin probar",IF(TODAY()-AE334&gt;90,"Vencido (&gt;90 días)","OK")))</f>
        <v/>
      </c>
      <c r="AG334" s="13"/>
      <c r="AH334" s="13"/>
      <c r="AI334" s="10" t="str">
        <f aca="true">IF(A334="","",IF(AH334="","Sin dato",IF(AH334&lt;TODAY(),"SIN SOPORTE",IF(AH334-TODAY()&lt;180,"Por vencer","Vigente"))))</f>
        <v/>
      </c>
      <c r="AJ334" s="14"/>
    </row>
    <row r="335" customFormat="false" ht="15" hidden="false" customHeight="fals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3"/>
      <c r="AF335" s="10" t="str">
        <f aca="true">IF(A335="","",IF(AE335="","Sin probar",IF(TODAY()-AE335&gt;90,"Vencido (&gt;90 días)","OK")))</f>
        <v/>
      </c>
      <c r="AG335" s="13"/>
      <c r="AH335" s="13"/>
      <c r="AI335" s="10" t="str">
        <f aca="true">IF(A335="","",IF(AH335="","Sin dato",IF(AH335&lt;TODAY(),"SIN SOPORTE",IF(AH335-TODAY()&lt;180,"Por vencer","Vigente"))))</f>
        <v/>
      </c>
      <c r="AJ335" s="14"/>
    </row>
    <row r="336" customFormat="false" ht="15" hidden="false" customHeight="fals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3"/>
      <c r="AF336" s="10" t="str">
        <f aca="true">IF(A336="","",IF(AE336="","Sin probar",IF(TODAY()-AE336&gt;90,"Vencido (&gt;90 días)","OK")))</f>
        <v/>
      </c>
      <c r="AG336" s="13"/>
      <c r="AH336" s="13"/>
      <c r="AI336" s="10" t="str">
        <f aca="true">IF(A336="","",IF(AH336="","Sin dato",IF(AH336&lt;TODAY(),"SIN SOPORTE",IF(AH336-TODAY()&lt;180,"Por vencer","Vigente"))))</f>
        <v/>
      </c>
      <c r="AJ336" s="14"/>
    </row>
    <row r="337" customFormat="false" ht="15" hidden="false" customHeight="fals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3"/>
      <c r="AF337" s="10" t="str">
        <f aca="true">IF(A337="","",IF(AE337="","Sin probar",IF(TODAY()-AE337&gt;90,"Vencido (&gt;90 días)","OK")))</f>
        <v/>
      </c>
      <c r="AG337" s="13"/>
      <c r="AH337" s="13"/>
      <c r="AI337" s="10" t="str">
        <f aca="true">IF(A337="","",IF(AH337="","Sin dato",IF(AH337&lt;TODAY(),"SIN SOPORTE",IF(AH337-TODAY()&lt;180,"Por vencer","Vigente"))))</f>
        <v/>
      </c>
      <c r="AJ337" s="14"/>
    </row>
    <row r="338" customFormat="false" ht="15" hidden="false" customHeight="fals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3"/>
      <c r="AF338" s="10" t="str">
        <f aca="true">IF(A338="","",IF(AE338="","Sin probar",IF(TODAY()-AE338&gt;90,"Vencido (&gt;90 días)","OK")))</f>
        <v/>
      </c>
      <c r="AG338" s="13"/>
      <c r="AH338" s="13"/>
      <c r="AI338" s="10" t="str">
        <f aca="true">IF(A338="","",IF(AH338="","Sin dato",IF(AH338&lt;TODAY(),"SIN SOPORTE",IF(AH338-TODAY()&lt;180,"Por vencer","Vigente"))))</f>
        <v/>
      </c>
      <c r="AJ338" s="14"/>
    </row>
    <row r="339" customFormat="false" ht="15" hidden="false" customHeight="fals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3"/>
      <c r="AF339" s="10" t="str">
        <f aca="true">IF(A339="","",IF(AE339="","Sin probar",IF(TODAY()-AE339&gt;90,"Vencido (&gt;90 días)","OK")))</f>
        <v/>
      </c>
      <c r="AG339" s="13"/>
      <c r="AH339" s="13"/>
      <c r="AI339" s="10" t="str">
        <f aca="true">IF(A339="","",IF(AH339="","Sin dato",IF(AH339&lt;TODAY(),"SIN SOPORTE",IF(AH339-TODAY()&lt;180,"Por vencer","Vigente"))))</f>
        <v/>
      </c>
      <c r="AJ339" s="14"/>
    </row>
    <row r="340" customFormat="false" ht="15" hidden="false" customHeight="fals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3"/>
      <c r="AF340" s="10" t="str">
        <f aca="true">IF(A340="","",IF(AE340="","Sin probar",IF(TODAY()-AE340&gt;90,"Vencido (&gt;90 días)","OK")))</f>
        <v/>
      </c>
      <c r="AG340" s="13"/>
      <c r="AH340" s="13"/>
      <c r="AI340" s="10" t="str">
        <f aca="true">IF(A340="","",IF(AH340="","Sin dato",IF(AH340&lt;TODAY(),"SIN SOPORTE",IF(AH340-TODAY()&lt;180,"Por vencer","Vigente"))))</f>
        <v/>
      </c>
      <c r="AJ340" s="14"/>
    </row>
    <row r="341" customFormat="false" ht="15" hidden="false" customHeight="fals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3"/>
      <c r="AF341" s="10" t="str">
        <f aca="true">IF(A341="","",IF(AE341="","Sin probar",IF(TODAY()-AE341&gt;90,"Vencido (&gt;90 días)","OK")))</f>
        <v/>
      </c>
      <c r="AG341" s="13"/>
      <c r="AH341" s="13"/>
      <c r="AI341" s="10" t="str">
        <f aca="true">IF(A341="","",IF(AH341="","Sin dato",IF(AH341&lt;TODAY(),"SIN SOPORTE",IF(AH341-TODAY()&lt;180,"Por vencer","Vigente"))))</f>
        <v/>
      </c>
      <c r="AJ341" s="14"/>
    </row>
    <row r="342" customFormat="false" ht="15" hidden="false" customHeight="fals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3"/>
      <c r="AF342" s="10" t="str">
        <f aca="true">IF(A342="","",IF(AE342="","Sin probar",IF(TODAY()-AE342&gt;90,"Vencido (&gt;90 días)","OK")))</f>
        <v/>
      </c>
      <c r="AG342" s="13"/>
      <c r="AH342" s="13"/>
      <c r="AI342" s="10" t="str">
        <f aca="true">IF(A342="","",IF(AH342="","Sin dato",IF(AH342&lt;TODAY(),"SIN SOPORTE",IF(AH342-TODAY()&lt;180,"Por vencer","Vigente"))))</f>
        <v/>
      </c>
      <c r="AJ342" s="14"/>
    </row>
    <row r="343" customFormat="false" ht="15" hidden="false" customHeight="fals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3"/>
      <c r="AF343" s="10" t="str">
        <f aca="true">IF(A343="","",IF(AE343="","Sin probar",IF(TODAY()-AE343&gt;90,"Vencido (&gt;90 días)","OK")))</f>
        <v/>
      </c>
      <c r="AG343" s="13"/>
      <c r="AH343" s="13"/>
      <c r="AI343" s="10" t="str">
        <f aca="true">IF(A343="","",IF(AH343="","Sin dato",IF(AH343&lt;TODAY(),"SIN SOPORTE",IF(AH343-TODAY()&lt;180,"Por vencer","Vigente"))))</f>
        <v/>
      </c>
      <c r="AJ343" s="14"/>
    </row>
    <row r="344" customFormat="false" ht="15" hidden="false" customHeight="fals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3"/>
      <c r="AF344" s="10" t="str">
        <f aca="true">IF(A344="","",IF(AE344="","Sin probar",IF(TODAY()-AE344&gt;90,"Vencido (&gt;90 días)","OK")))</f>
        <v/>
      </c>
      <c r="AG344" s="13"/>
      <c r="AH344" s="13"/>
      <c r="AI344" s="10" t="str">
        <f aca="true">IF(A344="","",IF(AH344="","Sin dato",IF(AH344&lt;TODAY(),"SIN SOPORTE",IF(AH344-TODAY()&lt;180,"Por vencer","Vigente"))))</f>
        <v/>
      </c>
      <c r="AJ344" s="14"/>
    </row>
    <row r="345" customFormat="false" ht="15" hidden="false" customHeight="fals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3"/>
      <c r="AF345" s="10" t="str">
        <f aca="true">IF(A345="","",IF(AE345="","Sin probar",IF(TODAY()-AE345&gt;90,"Vencido (&gt;90 días)","OK")))</f>
        <v/>
      </c>
      <c r="AG345" s="13"/>
      <c r="AH345" s="13"/>
      <c r="AI345" s="10" t="str">
        <f aca="true">IF(A345="","",IF(AH345="","Sin dato",IF(AH345&lt;TODAY(),"SIN SOPORTE",IF(AH345-TODAY()&lt;180,"Por vencer","Vigente"))))</f>
        <v/>
      </c>
      <c r="AJ345" s="14"/>
    </row>
    <row r="346" customFormat="false" ht="15" hidden="false" customHeight="fals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3"/>
      <c r="AF346" s="10" t="str">
        <f aca="true">IF(A346="","",IF(AE346="","Sin probar",IF(TODAY()-AE346&gt;90,"Vencido (&gt;90 días)","OK")))</f>
        <v/>
      </c>
      <c r="AG346" s="13"/>
      <c r="AH346" s="13"/>
      <c r="AI346" s="10" t="str">
        <f aca="true">IF(A346="","",IF(AH346="","Sin dato",IF(AH346&lt;TODAY(),"SIN SOPORTE",IF(AH346-TODAY()&lt;180,"Por vencer","Vigente"))))</f>
        <v/>
      </c>
      <c r="AJ346" s="14"/>
    </row>
    <row r="347" customFormat="false" ht="15" hidden="false" customHeight="fals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3"/>
      <c r="AF347" s="10" t="str">
        <f aca="true">IF(A347="","",IF(AE347="","Sin probar",IF(TODAY()-AE347&gt;90,"Vencido (&gt;90 días)","OK")))</f>
        <v/>
      </c>
      <c r="AG347" s="13"/>
      <c r="AH347" s="13"/>
      <c r="AI347" s="10" t="str">
        <f aca="true">IF(A347="","",IF(AH347="","Sin dato",IF(AH347&lt;TODAY(),"SIN SOPORTE",IF(AH347-TODAY()&lt;180,"Por vencer","Vigente"))))</f>
        <v/>
      </c>
      <c r="AJ347" s="14"/>
    </row>
    <row r="348" customFormat="false" ht="15" hidden="false" customHeight="fals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3"/>
      <c r="AF348" s="10" t="str">
        <f aca="true">IF(A348="","",IF(AE348="","Sin probar",IF(TODAY()-AE348&gt;90,"Vencido (&gt;90 días)","OK")))</f>
        <v/>
      </c>
      <c r="AG348" s="13"/>
      <c r="AH348" s="13"/>
      <c r="AI348" s="10" t="str">
        <f aca="true">IF(A348="","",IF(AH348="","Sin dato",IF(AH348&lt;TODAY(),"SIN SOPORTE",IF(AH348-TODAY()&lt;180,"Por vencer","Vigente"))))</f>
        <v/>
      </c>
      <c r="AJ348" s="14"/>
    </row>
    <row r="349" customFormat="false" ht="15" hidden="false" customHeight="fals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3"/>
      <c r="AF349" s="10" t="str">
        <f aca="true">IF(A349="","",IF(AE349="","Sin probar",IF(TODAY()-AE349&gt;90,"Vencido (&gt;90 días)","OK")))</f>
        <v/>
      </c>
      <c r="AG349" s="13"/>
      <c r="AH349" s="13"/>
      <c r="AI349" s="10" t="str">
        <f aca="true">IF(A349="","",IF(AH349="","Sin dato",IF(AH349&lt;TODAY(),"SIN SOPORTE",IF(AH349-TODAY()&lt;180,"Por vencer","Vigente"))))</f>
        <v/>
      </c>
      <c r="AJ349" s="14"/>
    </row>
    <row r="350" customFormat="false" ht="15" hidden="false" customHeight="fals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3"/>
      <c r="AF350" s="10" t="str">
        <f aca="true">IF(A350="","",IF(AE350="","Sin probar",IF(TODAY()-AE350&gt;90,"Vencido (&gt;90 días)","OK")))</f>
        <v/>
      </c>
      <c r="AG350" s="13"/>
      <c r="AH350" s="13"/>
      <c r="AI350" s="10" t="str">
        <f aca="true">IF(A350="","",IF(AH350="","Sin dato",IF(AH350&lt;TODAY(),"SIN SOPORTE",IF(AH350-TODAY()&lt;180,"Por vencer","Vigente"))))</f>
        <v/>
      </c>
      <c r="AJ350" s="14"/>
    </row>
    <row r="351" customFormat="false" ht="15" hidden="false" customHeight="fals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3"/>
      <c r="AF351" s="10" t="str">
        <f aca="true">IF(A351="","",IF(AE351="","Sin probar",IF(TODAY()-AE351&gt;90,"Vencido (&gt;90 días)","OK")))</f>
        <v/>
      </c>
      <c r="AG351" s="13"/>
      <c r="AH351" s="13"/>
      <c r="AI351" s="10" t="str">
        <f aca="true">IF(A351="","",IF(AH351="","Sin dato",IF(AH351&lt;TODAY(),"SIN SOPORTE",IF(AH351-TODAY()&lt;180,"Por vencer","Vigente"))))</f>
        <v/>
      </c>
      <c r="AJ351" s="14"/>
    </row>
    <row r="352" customFormat="false" ht="15" hidden="false" customHeight="fals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3"/>
      <c r="AF352" s="10" t="str">
        <f aca="true">IF(A352="","",IF(AE352="","Sin probar",IF(TODAY()-AE352&gt;90,"Vencido (&gt;90 días)","OK")))</f>
        <v/>
      </c>
      <c r="AG352" s="13"/>
      <c r="AH352" s="13"/>
      <c r="AI352" s="10" t="str">
        <f aca="true">IF(A352="","",IF(AH352="","Sin dato",IF(AH352&lt;TODAY(),"SIN SOPORTE",IF(AH352-TODAY()&lt;180,"Por vencer","Vigente"))))</f>
        <v/>
      </c>
      <c r="AJ352" s="14"/>
    </row>
    <row r="353" customFormat="false" ht="15" hidden="false" customHeight="fals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3"/>
      <c r="AF353" s="10" t="str">
        <f aca="true">IF(A353="","",IF(AE353="","Sin probar",IF(TODAY()-AE353&gt;90,"Vencido (&gt;90 días)","OK")))</f>
        <v/>
      </c>
      <c r="AG353" s="13"/>
      <c r="AH353" s="13"/>
      <c r="AI353" s="10" t="str">
        <f aca="true">IF(A353="","",IF(AH353="","Sin dato",IF(AH353&lt;TODAY(),"SIN SOPORTE",IF(AH353-TODAY()&lt;180,"Por vencer","Vigente"))))</f>
        <v/>
      </c>
      <c r="AJ353" s="14"/>
    </row>
    <row r="354" customFormat="false" ht="15" hidden="false" customHeight="fals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3"/>
      <c r="AF354" s="10" t="str">
        <f aca="true">IF(A354="","",IF(AE354="","Sin probar",IF(TODAY()-AE354&gt;90,"Vencido (&gt;90 días)","OK")))</f>
        <v/>
      </c>
      <c r="AG354" s="13"/>
      <c r="AH354" s="13"/>
      <c r="AI354" s="10" t="str">
        <f aca="true">IF(A354="","",IF(AH354="","Sin dato",IF(AH354&lt;TODAY(),"SIN SOPORTE",IF(AH354-TODAY()&lt;180,"Por vencer","Vigente"))))</f>
        <v/>
      </c>
      <c r="AJ354" s="14"/>
    </row>
    <row r="355" customFormat="false" ht="15" hidden="false" customHeight="fals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3"/>
      <c r="AF355" s="10" t="str">
        <f aca="true">IF(A355="","",IF(AE355="","Sin probar",IF(TODAY()-AE355&gt;90,"Vencido (&gt;90 días)","OK")))</f>
        <v/>
      </c>
      <c r="AG355" s="13"/>
      <c r="AH355" s="13"/>
      <c r="AI355" s="10" t="str">
        <f aca="true">IF(A355="","",IF(AH355="","Sin dato",IF(AH355&lt;TODAY(),"SIN SOPORTE",IF(AH355-TODAY()&lt;180,"Por vencer","Vigente"))))</f>
        <v/>
      </c>
      <c r="AJ355" s="14"/>
    </row>
    <row r="356" customFormat="false" ht="15" hidden="false" customHeight="fals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3"/>
      <c r="AF356" s="10" t="str">
        <f aca="true">IF(A356="","",IF(AE356="","Sin probar",IF(TODAY()-AE356&gt;90,"Vencido (&gt;90 días)","OK")))</f>
        <v/>
      </c>
      <c r="AG356" s="13"/>
      <c r="AH356" s="13"/>
      <c r="AI356" s="10" t="str">
        <f aca="true">IF(A356="","",IF(AH356="","Sin dato",IF(AH356&lt;TODAY(),"SIN SOPORTE",IF(AH356-TODAY()&lt;180,"Por vencer","Vigente"))))</f>
        <v/>
      </c>
      <c r="AJ356" s="14"/>
    </row>
    <row r="357" customFormat="false" ht="15" hidden="false" customHeight="fals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3"/>
      <c r="AF357" s="10" t="str">
        <f aca="true">IF(A357="","",IF(AE357="","Sin probar",IF(TODAY()-AE357&gt;90,"Vencido (&gt;90 días)","OK")))</f>
        <v/>
      </c>
      <c r="AG357" s="13"/>
      <c r="AH357" s="13"/>
      <c r="AI357" s="10" t="str">
        <f aca="true">IF(A357="","",IF(AH357="","Sin dato",IF(AH357&lt;TODAY(),"SIN SOPORTE",IF(AH357-TODAY()&lt;180,"Por vencer","Vigente"))))</f>
        <v/>
      </c>
      <c r="AJ357" s="14"/>
    </row>
    <row r="358" customFormat="false" ht="15" hidden="false" customHeight="fals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3"/>
      <c r="AF358" s="10" t="str">
        <f aca="true">IF(A358="","",IF(AE358="","Sin probar",IF(TODAY()-AE358&gt;90,"Vencido (&gt;90 días)","OK")))</f>
        <v/>
      </c>
      <c r="AG358" s="13"/>
      <c r="AH358" s="13"/>
      <c r="AI358" s="10" t="str">
        <f aca="true">IF(A358="","",IF(AH358="","Sin dato",IF(AH358&lt;TODAY(),"SIN SOPORTE",IF(AH358-TODAY()&lt;180,"Por vencer","Vigente"))))</f>
        <v/>
      </c>
      <c r="AJ358" s="14"/>
    </row>
    <row r="359" customFormat="false" ht="15" hidden="false" customHeight="fals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3"/>
      <c r="AF359" s="10" t="str">
        <f aca="true">IF(A359="","",IF(AE359="","Sin probar",IF(TODAY()-AE359&gt;90,"Vencido (&gt;90 días)","OK")))</f>
        <v/>
      </c>
      <c r="AG359" s="13"/>
      <c r="AH359" s="13"/>
      <c r="AI359" s="10" t="str">
        <f aca="true">IF(A359="","",IF(AH359="","Sin dato",IF(AH359&lt;TODAY(),"SIN SOPORTE",IF(AH359-TODAY()&lt;180,"Por vencer","Vigente"))))</f>
        <v/>
      </c>
      <c r="AJ359" s="14"/>
    </row>
    <row r="360" customFormat="false" ht="15" hidden="false" customHeight="fals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3"/>
      <c r="AF360" s="10" t="str">
        <f aca="true">IF(A360="","",IF(AE360="","Sin probar",IF(TODAY()-AE360&gt;90,"Vencido (&gt;90 días)","OK")))</f>
        <v/>
      </c>
      <c r="AG360" s="13"/>
      <c r="AH360" s="13"/>
      <c r="AI360" s="10" t="str">
        <f aca="true">IF(A360="","",IF(AH360="","Sin dato",IF(AH360&lt;TODAY(),"SIN SOPORTE",IF(AH360-TODAY()&lt;180,"Por vencer","Vigente"))))</f>
        <v/>
      </c>
      <c r="AJ360" s="14"/>
    </row>
    <row r="361" customFormat="false" ht="15" hidden="false" customHeight="fals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3"/>
      <c r="AF361" s="10" t="str">
        <f aca="true">IF(A361="","",IF(AE361="","Sin probar",IF(TODAY()-AE361&gt;90,"Vencido (&gt;90 días)","OK")))</f>
        <v/>
      </c>
      <c r="AG361" s="13"/>
      <c r="AH361" s="13"/>
      <c r="AI361" s="10" t="str">
        <f aca="true">IF(A361="","",IF(AH361="","Sin dato",IF(AH361&lt;TODAY(),"SIN SOPORTE",IF(AH361-TODAY()&lt;180,"Por vencer","Vigente"))))</f>
        <v/>
      </c>
      <c r="AJ361" s="14"/>
    </row>
    <row r="362" customFormat="false" ht="15" hidden="false" customHeight="fals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3"/>
      <c r="AF362" s="10" t="str">
        <f aca="true">IF(A362="","",IF(AE362="","Sin probar",IF(TODAY()-AE362&gt;90,"Vencido (&gt;90 días)","OK")))</f>
        <v/>
      </c>
      <c r="AG362" s="13"/>
      <c r="AH362" s="13"/>
      <c r="AI362" s="10" t="str">
        <f aca="true">IF(A362="","",IF(AH362="","Sin dato",IF(AH362&lt;TODAY(),"SIN SOPORTE",IF(AH362-TODAY()&lt;180,"Por vencer","Vigente"))))</f>
        <v/>
      </c>
      <c r="AJ362" s="14"/>
    </row>
    <row r="363" customFormat="false" ht="15" hidden="false" customHeight="fals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3"/>
      <c r="AF363" s="10" t="str">
        <f aca="true">IF(A363="","",IF(AE363="","Sin probar",IF(TODAY()-AE363&gt;90,"Vencido (&gt;90 días)","OK")))</f>
        <v/>
      </c>
      <c r="AG363" s="13"/>
      <c r="AH363" s="13"/>
      <c r="AI363" s="10" t="str">
        <f aca="true">IF(A363="","",IF(AH363="","Sin dato",IF(AH363&lt;TODAY(),"SIN SOPORTE",IF(AH363-TODAY()&lt;180,"Por vencer","Vigente"))))</f>
        <v/>
      </c>
      <c r="AJ363" s="14"/>
    </row>
    <row r="364" customFormat="false" ht="15" hidden="false" customHeight="fals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3"/>
      <c r="AF364" s="10" t="str">
        <f aca="true">IF(A364="","",IF(AE364="","Sin probar",IF(TODAY()-AE364&gt;90,"Vencido (&gt;90 días)","OK")))</f>
        <v/>
      </c>
      <c r="AG364" s="13"/>
      <c r="AH364" s="13"/>
      <c r="AI364" s="10" t="str">
        <f aca="true">IF(A364="","",IF(AH364="","Sin dato",IF(AH364&lt;TODAY(),"SIN SOPORTE",IF(AH364-TODAY()&lt;180,"Por vencer","Vigente"))))</f>
        <v/>
      </c>
      <c r="AJ364" s="14"/>
    </row>
    <row r="365" customFormat="false" ht="15" hidden="false" customHeight="fals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3"/>
      <c r="AF365" s="10" t="str">
        <f aca="true">IF(A365="","",IF(AE365="","Sin probar",IF(TODAY()-AE365&gt;90,"Vencido (&gt;90 días)","OK")))</f>
        <v/>
      </c>
      <c r="AG365" s="13"/>
      <c r="AH365" s="13"/>
      <c r="AI365" s="10" t="str">
        <f aca="true">IF(A365="","",IF(AH365="","Sin dato",IF(AH365&lt;TODAY(),"SIN SOPORTE",IF(AH365-TODAY()&lt;180,"Por vencer","Vigente"))))</f>
        <v/>
      </c>
      <c r="AJ365" s="14"/>
    </row>
    <row r="366" customFormat="false" ht="15" hidden="false" customHeight="fals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3"/>
      <c r="AF366" s="10" t="str">
        <f aca="true">IF(A366="","",IF(AE366="","Sin probar",IF(TODAY()-AE366&gt;90,"Vencido (&gt;90 días)","OK")))</f>
        <v/>
      </c>
      <c r="AG366" s="13"/>
      <c r="AH366" s="13"/>
      <c r="AI366" s="10" t="str">
        <f aca="true">IF(A366="","",IF(AH366="","Sin dato",IF(AH366&lt;TODAY(),"SIN SOPORTE",IF(AH366-TODAY()&lt;180,"Por vencer","Vigente"))))</f>
        <v/>
      </c>
      <c r="AJ366" s="14"/>
    </row>
    <row r="367" customFormat="false" ht="15" hidden="false" customHeight="fals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3"/>
      <c r="AF367" s="10" t="str">
        <f aca="true">IF(A367="","",IF(AE367="","Sin probar",IF(TODAY()-AE367&gt;90,"Vencido (&gt;90 días)","OK")))</f>
        <v/>
      </c>
      <c r="AG367" s="13"/>
      <c r="AH367" s="13"/>
      <c r="AI367" s="10" t="str">
        <f aca="true">IF(A367="","",IF(AH367="","Sin dato",IF(AH367&lt;TODAY(),"SIN SOPORTE",IF(AH367-TODAY()&lt;180,"Por vencer","Vigente"))))</f>
        <v/>
      </c>
      <c r="AJ367" s="14"/>
    </row>
    <row r="368" customFormat="false" ht="15" hidden="false" customHeight="fals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3"/>
      <c r="AF368" s="10" t="str">
        <f aca="true">IF(A368="","",IF(AE368="","Sin probar",IF(TODAY()-AE368&gt;90,"Vencido (&gt;90 días)","OK")))</f>
        <v/>
      </c>
      <c r="AG368" s="13"/>
      <c r="AH368" s="13"/>
      <c r="AI368" s="10" t="str">
        <f aca="true">IF(A368="","",IF(AH368="","Sin dato",IF(AH368&lt;TODAY(),"SIN SOPORTE",IF(AH368-TODAY()&lt;180,"Por vencer","Vigente"))))</f>
        <v/>
      </c>
      <c r="AJ368" s="14"/>
    </row>
    <row r="369" customFormat="false" ht="15" hidden="false" customHeight="fals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3"/>
      <c r="AF369" s="10" t="str">
        <f aca="true">IF(A369="","",IF(AE369="","Sin probar",IF(TODAY()-AE369&gt;90,"Vencido (&gt;90 días)","OK")))</f>
        <v/>
      </c>
      <c r="AG369" s="13"/>
      <c r="AH369" s="13"/>
      <c r="AI369" s="10" t="str">
        <f aca="true">IF(A369="","",IF(AH369="","Sin dato",IF(AH369&lt;TODAY(),"SIN SOPORTE",IF(AH369-TODAY()&lt;180,"Por vencer","Vigente"))))</f>
        <v/>
      </c>
      <c r="AJ369" s="14"/>
    </row>
    <row r="370" customFormat="false" ht="15" hidden="false" customHeight="fals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3"/>
      <c r="AF370" s="10" t="str">
        <f aca="true">IF(A370="","",IF(AE370="","Sin probar",IF(TODAY()-AE370&gt;90,"Vencido (&gt;90 días)","OK")))</f>
        <v/>
      </c>
      <c r="AG370" s="13"/>
      <c r="AH370" s="13"/>
      <c r="AI370" s="10" t="str">
        <f aca="true">IF(A370="","",IF(AH370="","Sin dato",IF(AH370&lt;TODAY(),"SIN SOPORTE",IF(AH370-TODAY()&lt;180,"Por vencer","Vigente"))))</f>
        <v/>
      </c>
      <c r="AJ370" s="14"/>
    </row>
    <row r="371" customFormat="false" ht="15" hidden="false" customHeight="fals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3"/>
      <c r="AF371" s="10" t="str">
        <f aca="true">IF(A371="","",IF(AE371="","Sin probar",IF(TODAY()-AE371&gt;90,"Vencido (&gt;90 días)","OK")))</f>
        <v/>
      </c>
      <c r="AG371" s="13"/>
      <c r="AH371" s="13"/>
      <c r="AI371" s="10" t="str">
        <f aca="true">IF(A371="","",IF(AH371="","Sin dato",IF(AH371&lt;TODAY(),"SIN SOPORTE",IF(AH371-TODAY()&lt;180,"Por vencer","Vigente"))))</f>
        <v/>
      </c>
      <c r="AJ371" s="14"/>
    </row>
    <row r="372" customFormat="false" ht="15" hidden="false" customHeight="fals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3"/>
      <c r="AF372" s="10" t="str">
        <f aca="true">IF(A372="","",IF(AE372="","Sin probar",IF(TODAY()-AE372&gt;90,"Vencido (&gt;90 días)","OK")))</f>
        <v/>
      </c>
      <c r="AG372" s="13"/>
      <c r="AH372" s="13"/>
      <c r="AI372" s="10" t="str">
        <f aca="true">IF(A372="","",IF(AH372="","Sin dato",IF(AH372&lt;TODAY(),"SIN SOPORTE",IF(AH372-TODAY()&lt;180,"Por vencer","Vigente"))))</f>
        <v/>
      </c>
      <c r="AJ372" s="14"/>
    </row>
    <row r="373" customFormat="false" ht="15" hidden="false" customHeight="fals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3"/>
      <c r="AF373" s="10" t="str">
        <f aca="true">IF(A373="","",IF(AE373="","Sin probar",IF(TODAY()-AE373&gt;90,"Vencido (&gt;90 días)","OK")))</f>
        <v/>
      </c>
      <c r="AG373" s="13"/>
      <c r="AH373" s="13"/>
      <c r="AI373" s="10" t="str">
        <f aca="true">IF(A373="","",IF(AH373="","Sin dato",IF(AH373&lt;TODAY(),"SIN SOPORTE",IF(AH373-TODAY()&lt;180,"Por vencer","Vigente"))))</f>
        <v/>
      </c>
      <c r="AJ373" s="14"/>
    </row>
    <row r="374" customFormat="false" ht="15" hidden="false" customHeight="fals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3"/>
      <c r="AF374" s="10" t="str">
        <f aca="true">IF(A374="","",IF(AE374="","Sin probar",IF(TODAY()-AE374&gt;90,"Vencido (&gt;90 días)","OK")))</f>
        <v/>
      </c>
      <c r="AG374" s="13"/>
      <c r="AH374" s="13"/>
      <c r="AI374" s="10" t="str">
        <f aca="true">IF(A374="","",IF(AH374="","Sin dato",IF(AH374&lt;TODAY(),"SIN SOPORTE",IF(AH374-TODAY()&lt;180,"Por vencer","Vigente"))))</f>
        <v/>
      </c>
      <c r="AJ374" s="14"/>
    </row>
    <row r="375" customFormat="false" ht="15" hidden="false" customHeight="fals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3"/>
      <c r="AF375" s="10" t="str">
        <f aca="true">IF(A375="","",IF(AE375="","Sin probar",IF(TODAY()-AE375&gt;90,"Vencido (&gt;90 días)","OK")))</f>
        <v/>
      </c>
      <c r="AG375" s="13"/>
      <c r="AH375" s="13"/>
      <c r="AI375" s="10" t="str">
        <f aca="true">IF(A375="","",IF(AH375="","Sin dato",IF(AH375&lt;TODAY(),"SIN SOPORTE",IF(AH375-TODAY()&lt;180,"Por vencer","Vigente"))))</f>
        <v/>
      </c>
      <c r="AJ375" s="14"/>
    </row>
    <row r="376" customFormat="false" ht="15" hidden="false" customHeight="fals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3"/>
      <c r="AF376" s="10" t="str">
        <f aca="true">IF(A376="","",IF(AE376="","Sin probar",IF(TODAY()-AE376&gt;90,"Vencido (&gt;90 días)","OK")))</f>
        <v/>
      </c>
      <c r="AG376" s="13"/>
      <c r="AH376" s="13"/>
      <c r="AI376" s="10" t="str">
        <f aca="true">IF(A376="","",IF(AH376="","Sin dato",IF(AH376&lt;TODAY(),"SIN SOPORTE",IF(AH376-TODAY()&lt;180,"Por vencer","Vigente"))))</f>
        <v/>
      </c>
      <c r="AJ376" s="14"/>
    </row>
    <row r="377" customFormat="false" ht="15" hidden="false" customHeight="fals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3"/>
      <c r="AF377" s="10" t="str">
        <f aca="true">IF(A377="","",IF(AE377="","Sin probar",IF(TODAY()-AE377&gt;90,"Vencido (&gt;90 días)","OK")))</f>
        <v/>
      </c>
      <c r="AG377" s="13"/>
      <c r="AH377" s="13"/>
      <c r="AI377" s="10" t="str">
        <f aca="true">IF(A377="","",IF(AH377="","Sin dato",IF(AH377&lt;TODAY(),"SIN SOPORTE",IF(AH377-TODAY()&lt;180,"Por vencer","Vigente"))))</f>
        <v/>
      </c>
      <c r="AJ377" s="14"/>
    </row>
    <row r="378" customFormat="false" ht="15" hidden="false" customHeight="fals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3"/>
      <c r="AF378" s="10" t="str">
        <f aca="true">IF(A378="","",IF(AE378="","Sin probar",IF(TODAY()-AE378&gt;90,"Vencido (&gt;90 días)","OK")))</f>
        <v/>
      </c>
      <c r="AG378" s="13"/>
      <c r="AH378" s="13"/>
      <c r="AI378" s="10" t="str">
        <f aca="true">IF(A378="","",IF(AH378="","Sin dato",IF(AH378&lt;TODAY(),"SIN SOPORTE",IF(AH378-TODAY()&lt;180,"Por vencer","Vigente"))))</f>
        <v/>
      </c>
      <c r="AJ378" s="14"/>
    </row>
    <row r="379" customFormat="false" ht="15" hidden="false" customHeight="fals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3"/>
      <c r="AF379" s="10" t="str">
        <f aca="true">IF(A379="","",IF(AE379="","Sin probar",IF(TODAY()-AE379&gt;90,"Vencido (&gt;90 días)","OK")))</f>
        <v/>
      </c>
      <c r="AG379" s="13"/>
      <c r="AH379" s="13"/>
      <c r="AI379" s="10" t="str">
        <f aca="true">IF(A379="","",IF(AH379="","Sin dato",IF(AH379&lt;TODAY(),"SIN SOPORTE",IF(AH379-TODAY()&lt;180,"Por vencer","Vigente"))))</f>
        <v/>
      </c>
      <c r="AJ379" s="14"/>
    </row>
    <row r="380" customFormat="false" ht="15" hidden="false" customHeight="fals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3"/>
      <c r="AF380" s="10" t="str">
        <f aca="true">IF(A380="","",IF(AE380="","Sin probar",IF(TODAY()-AE380&gt;90,"Vencido (&gt;90 días)","OK")))</f>
        <v/>
      </c>
      <c r="AG380" s="13"/>
      <c r="AH380" s="13"/>
      <c r="AI380" s="10" t="str">
        <f aca="true">IF(A380="","",IF(AH380="","Sin dato",IF(AH380&lt;TODAY(),"SIN SOPORTE",IF(AH380-TODAY()&lt;180,"Por vencer","Vigente"))))</f>
        <v/>
      </c>
      <c r="AJ380" s="14"/>
    </row>
    <row r="381" customFormat="false" ht="15" hidden="false" customHeight="fals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3"/>
      <c r="AF381" s="10" t="str">
        <f aca="true">IF(A381="","",IF(AE381="","Sin probar",IF(TODAY()-AE381&gt;90,"Vencido (&gt;90 días)","OK")))</f>
        <v/>
      </c>
      <c r="AG381" s="13"/>
      <c r="AH381" s="13"/>
      <c r="AI381" s="10" t="str">
        <f aca="true">IF(A381="","",IF(AH381="","Sin dato",IF(AH381&lt;TODAY(),"SIN SOPORTE",IF(AH381-TODAY()&lt;180,"Por vencer","Vigente"))))</f>
        <v/>
      </c>
      <c r="AJ381" s="14"/>
    </row>
    <row r="382" customFormat="false" ht="15" hidden="false" customHeight="fals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3"/>
      <c r="AF382" s="10" t="str">
        <f aca="true">IF(A382="","",IF(AE382="","Sin probar",IF(TODAY()-AE382&gt;90,"Vencido (&gt;90 días)","OK")))</f>
        <v/>
      </c>
      <c r="AG382" s="13"/>
      <c r="AH382" s="13"/>
      <c r="AI382" s="10" t="str">
        <f aca="true">IF(A382="","",IF(AH382="","Sin dato",IF(AH382&lt;TODAY(),"SIN SOPORTE",IF(AH382-TODAY()&lt;180,"Por vencer","Vigente"))))</f>
        <v/>
      </c>
      <c r="AJ382" s="14"/>
    </row>
    <row r="383" customFormat="false" ht="15" hidden="false" customHeight="fals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3"/>
      <c r="AF383" s="10" t="str">
        <f aca="true">IF(A383="","",IF(AE383="","Sin probar",IF(TODAY()-AE383&gt;90,"Vencido (&gt;90 días)","OK")))</f>
        <v/>
      </c>
      <c r="AG383" s="13"/>
      <c r="AH383" s="13"/>
      <c r="AI383" s="10" t="str">
        <f aca="true">IF(A383="","",IF(AH383="","Sin dato",IF(AH383&lt;TODAY(),"SIN SOPORTE",IF(AH383-TODAY()&lt;180,"Por vencer","Vigente"))))</f>
        <v/>
      </c>
      <c r="AJ383" s="14"/>
    </row>
    <row r="384" customFormat="false" ht="15" hidden="false" customHeight="fals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3"/>
      <c r="AF384" s="10" t="str">
        <f aca="true">IF(A384="","",IF(AE384="","Sin probar",IF(TODAY()-AE384&gt;90,"Vencido (&gt;90 días)","OK")))</f>
        <v/>
      </c>
      <c r="AG384" s="13"/>
      <c r="AH384" s="13"/>
      <c r="AI384" s="10" t="str">
        <f aca="true">IF(A384="","",IF(AH384="","Sin dato",IF(AH384&lt;TODAY(),"SIN SOPORTE",IF(AH384-TODAY()&lt;180,"Por vencer","Vigente"))))</f>
        <v/>
      </c>
      <c r="AJ384" s="14"/>
    </row>
    <row r="385" customFormat="false" ht="15" hidden="false" customHeight="fals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3"/>
      <c r="AF385" s="10" t="str">
        <f aca="true">IF(A385="","",IF(AE385="","Sin probar",IF(TODAY()-AE385&gt;90,"Vencido (&gt;90 días)","OK")))</f>
        <v/>
      </c>
      <c r="AG385" s="13"/>
      <c r="AH385" s="13"/>
      <c r="AI385" s="10" t="str">
        <f aca="true">IF(A385="","",IF(AH385="","Sin dato",IF(AH385&lt;TODAY(),"SIN SOPORTE",IF(AH385-TODAY()&lt;180,"Por vencer","Vigente"))))</f>
        <v/>
      </c>
      <c r="AJ385" s="14"/>
    </row>
    <row r="386" customFormat="false" ht="15" hidden="false" customHeight="fals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3"/>
      <c r="AF386" s="10" t="str">
        <f aca="true">IF(A386="","",IF(AE386="","Sin probar",IF(TODAY()-AE386&gt;90,"Vencido (&gt;90 días)","OK")))</f>
        <v/>
      </c>
      <c r="AG386" s="13"/>
      <c r="AH386" s="13"/>
      <c r="AI386" s="10" t="str">
        <f aca="true">IF(A386="","",IF(AH386="","Sin dato",IF(AH386&lt;TODAY(),"SIN SOPORTE",IF(AH386-TODAY()&lt;180,"Por vencer","Vigente"))))</f>
        <v/>
      </c>
      <c r="AJ386" s="14"/>
    </row>
    <row r="387" customFormat="false" ht="15" hidden="false" customHeight="fals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3"/>
      <c r="AF387" s="10" t="str">
        <f aca="true">IF(A387="","",IF(AE387="","Sin probar",IF(TODAY()-AE387&gt;90,"Vencido (&gt;90 días)","OK")))</f>
        <v/>
      </c>
      <c r="AG387" s="13"/>
      <c r="AH387" s="13"/>
      <c r="AI387" s="10" t="str">
        <f aca="true">IF(A387="","",IF(AH387="","Sin dato",IF(AH387&lt;TODAY(),"SIN SOPORTE",IF(AH387-TODAY()&lt;180,"Por vencer","Vigente"))))</f>
        <v/>
      </c>
      <c r="AJ387" s="14"/>
    </row>
    <row r="388" customFormat="false" ht="15" hidden="false" customHeight="fals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3"/>
      <c r="AF388" s="10" t="str">
        <f aca="true">IF(A388="","",IF(AE388="","Sin probar",IF(TODAY()-AE388&gt;90,"Vencido (&gt;90 días)","OK")))</f>
        <v/>
      </c>
      <c r="AG388" s="13"/>
      <c r="AH388" s="13"/>
      <c r="AI388" s="10" t="str">
        <f aca="true">IF(A388="","",IF(AH388="","Sin dato",IF(AH388&lt;TODAY(),"SIN SOPORTE",IF(AH388-TODAY()&lt;180,"Por vencer","Vigente"))))</f>
        <v/>
      </c>
      <c r="AJ388" s="14"/>
    </row>
    <row r="389" customFormat="false" ht="15" hidden="false" customHeight="fals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3"/>
      <c r="AF389" s="10" t="str">
        <f aca="true">IF(A389="","",IF(AE389="","Sin probar",IF(TODAY()-AE389&gt;90,"Vencido (&gt;90 días)","OK")))</f>
        <v/>
      </c>
      <c r="AG389" s="13"/>
      <c r="AH389" s="13"/>
      <c r="AI389" s="10" t="str">
        <f aca="true">IF(A389="","",IF(AH389="","Sin dato",IF(AH389&lt;TODAY(),"SIN SOPORTE",IF(AH389-TODAY()&lt;180,"Por vencer","Vigente"))))</f>
        <v/>
      </c>
      <c r="AJ389" s="14"/>
    </row>
    <row r="390" customFormat="false" ht="15" hidden="false" customHeight="fals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3"/>
      <c r="AF390" s="10" t="str">
        <f aca="true">IF(A390="","",IF(AE390="","Sin probar",IF(TODAY()-AE390&gt;90,"Vencido (&gt;90 días)","OK")))</f>
        <v/>
      </c>
      <c r="AG390" s="13"/>
      <c r="AH390" s="13"/>
      <c r="AI390" s="10" t="str">
        <f aca="true">IF(A390="","",IF(AH390="","Sin dato",IF(AH390&lt;TODAY(),"SIN SOPORTE",IF(AH390-TODAY()&lt;180,"Por vencer","Vigente"))))</f>
        <v/>
      </c>
      <c r="AJ390" s="14"/>
    </row>
    <row r="391" customFormat="false" ht="15" hidden="false" customHeight="fals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3"/>
      <c r="AF391" s="10" t="str">
        <f aca="true">IF(A391="","",IF(AE391="","Sin probar",IF(TODAY()-AE391&gt;90,"Vencido (&gt;90 días)","OK")))</f>
        <v/>
      </c>
      <c r="AG391" s="13"/>
      <c r="AH391" s="13"/>
      <c r="AI391" s="10" t="str">
        <f aca="true">IF(A391="","",IF(AH391="","Sin dato",IF(AH391&lt;TODAY(),"SIN SOPORTE",IF(AH391-TODAY()&lt;180,"Por vencer","Vigente"))))</f>
        <v/>
      </c>
      <c r="AJ391" s="14"/>
    </row>
    <row r="392" customFormat="false" ht="15" hidden="false" customHeight="fals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3"/>
      <c r="AF392" s="10" t="str">
        <f aca="true">IF(A392="","",IF(AE392="","Sin probar",IF(TODAY()-AE392&gt;90,"Vencido (&gt;90 días)","OK")))</f>
        <v/>
      </c>
      <c r="AG392" s="13"/>
      <c r="AH392" s="13"/>
      <c r="AI392" s="10" t="str">
        <f aca="true">IF(A392="","",IF(AH392="","Sin dato",IF(AH392&lt;TODAY(),"SIN SOPORTE",IF(AH392-TODAY()&lt;180,"Por vencer","Vigente"))))</f>
        <v/>
      </c>
      <c r="AJ392" s="14"/>
    </row>
    <row r="393" customFormat="false" ht="15" hidden="false" customHeight="fals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3"/>
      <c r="AF393" s="10" t="str">
        <f aca="true">IF(A393="","",IF(AE393="","Sin probar",IF(TODAY()-AE393&gt;90,"Vencido (&gt;90 días)","OK")))</f>
        <v/>
      </c>
      <c r="AG393" s="13"/>
      <c r="AH393" s="13"/>
      <c r="AI393" s="10" t="str">
        <f aca="true">IF(A393="","",IF(AH393="","Sin dato",IF(AH393&lt;TODAY(),"SIN SOPORTE",IF(AH393-TODAY()&lt;180,"Por vencer","Vigente"))))</f>
        <v/>
      </c>
      <c r="AJ393" s="14"/>
    </row>
    <row r="394" customFormat="false" ht="15" hidden="false" customHeight="fals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3"/>
      <c r="AF394" s="10" t="str">
        <f aca="true">IF(A394="","",IF(AE394="","Sin probar",IF(TODAY()-AE394&gt;90,"Vencido (&gt;90 días)","OK")))</f>
        <v/>
      </c>
      <c r="AG394" s="13"/>
      <c r="AH394" s="13"/>
      <c r="AI394" s="10" t="str">
        <f aca="true">IF(A394="","",IF(AH394="","Sin dato",IF(AH394&lt;TODAY(),"SIN SOPORTE",IF(AH394-TODAY()&lt;180,"Por vencer","Vigente"))))</f>
        <v/>
      </c>
      <c r="AJ394" s="14"/>
    </row>
    <row r="395" customFormat="false" ht="15" hidden="false" customHeight="fals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3"/>
      <c r="AF395" s="10" t="str">
        <f aca="true">IF(A395="","",IF(AE395="","Sin probar",IF(TODAY()-AE395&gt;90,"Vencido (&gt;90 días)","OK")))</f>
        <v/>
      </c>
      <c r="AG395" s="13"/>
      <c r="AH395" s="13"/>
      <c r="AI395" s="10" t="str">
        <f aca="true">IF(A395="","",IF(AH395="","Sin dato",IF(AH395&lt;TODAY(),"SIN SOPORTE",IF(AH395-TODAY()&lt;180,"Por vencer","Vigente"))))</f>
        <v/>
      </c>
      <c r="AJ395" s="14"/>
    </row>
    <row r="396" customFormat="false" ht="15" hidden="false" customHeight="fals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3"/>
      <c r="AF396" s="10" t="str">
        <f aca="true">IF(A396="","",IF(AE396="","Sin probar",IF(TODAY()-AE396&gt;90,"Vencido (&gt;90 días)","OK")))</f>
        <v/>
      </c>
      <c r="AG396" s="13"/>
      <c r="AH396" s="13"/>
      <c r="AI396" s="10" t="str">
        <f aca="true">IF(A396="","",IF(AH396="","Sin dato",IF(AH396&lt;TODAY(),"SIN SOPORTE",IF(AH396-TODAY()&lt;180,"Por vencer","Vigente"))))</f>
        <v/>
      </c>
      <c r="AJ396" s="14"/>
    </row>
    <row r="397" customFormat="false" ht="15" hidden="false" customHeight="fals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3"/>
      <c r="AF397" s="10" t="str">
        <f aca="true">IF(A397="","",IF(AE397="","Sin probar",IF(TODAY()-AE397&gt;90,"Vencido (&gt;90 días)","OK")))</f>
        <v/>
      </c>
      <c r="AG397" s="13"/>
      <c r="AH397" s="13"/>
      <c r="AI397" s="10" t="str">
        <f aca="true">IF(A397="","",IF(AH397="","Sin dato",IF(AH397&lt;TODAY(),"SIN SOPORTE",IF(AH397-TODAY()&lt;180,"Por vencer","Vigente"))))</f>
        <v/>
      </c>
      <c r="AJ397" s="14"/>
    </row>
    <row r="398" customFormat="false" ht="15" hidden="false" customHeight="fals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3"/>
      <c r="AF398" s="10" t="str">
        <f aca="true">IF(A398="","",IF(AE398="","Sin probar",IF(TODAY()-AE398&gt;90,"Vencido (&gt;90 días)","OK")))</f>
        <v/>
      </c>
      <c r="AG398" s="13"/>
      <c r="AH398" s="13"/>
      <c r="AI398" s="10" t="str">
        <f aca="true">IF(A398="","",IF(AH398="","Sin dato",IF(AH398&lt;TODAY(),"SIN SOPORTE",IF(AH398-TODAY()&lt;180,"Por vencer","Vigente"))))</f>
        <v/>
      </c>
      <c r="AJ398" s="14"/>
    </row>
    <row r="399" customFormat="false" ht="15" hidden="false" customHeight="fals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3"/>
      <c r="AF399" s="10" t="str">
        <f aca="true">IF(A399="","",IF(AE399="","Sin probar",IF(TODAY()-AE399&gt;90,"Vencido (&gt;90 días)","OK")))</f>
        <v/>
      </c>
      <c r="AG399" s="13"/>
      <c r="AH399" s="13"/>
      <c r="AI399" s="10" t="str">
        <f aca="true">IF(A399="","",IF(AH399="","Sin dato",IF(AH399&lt;TODAY(),"SIN SOPORTE",IF(AH399-TODAY()&lt;180,"Por vencer","Vigente"))))</f>
        <v/>
      </c>
      <c r="AJ399" s="14"/>
    </row>
    <row r="400" customFormat="false" ht="15" hidden="false" customHeight="fals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3"/>
      <c r="AF400" s="10" t="str">
        <f aca="true">IF(A400="","",IF(AE400="","Sin probar",IF(TODAY()-AE400&gt;90,"Vencido (&gt;90 días)","OK")))</f>
        <v/>
      </c>
      <c r="AG400" s="13"/>
      <c r="AH400" s="13"/>
      <c r="AI400" s="10" t="str">
        <f aca="true">IF(A400="","",IF(AH400="","Sin dato",IF(AH400&lt;TODAY(),"SIN SOPORTE",IF(AH400-TODAY()&lt;180,"Por vencer","Vigente"))))</f>
        <v/>
      </c>
      <c r="AJ400" s="14"/>
    </row>
    <row r="401" customFormat="false" ht="15" hidden="false" customHeight="fals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3"/>
      <c r="AF401" s="10" t="str">
        <f aca="true">IF(A401="","",IF(AE401="","Sin probar",IF(TODAY()-AE401&gt;90,"Vencido (&gt;90 días)","OK")))</f>
        <v/>
      </c>
      <c r="AG401" s="13"/>
      <c r="AH401" s="13"/>
      <c r="AI401" s="10" t="str">
        <f aca="true">IF(A401="","",IF(AH401="","Sin dato",IF(AH401&lt;TODAY(),"SIN SOPORTE",IF(AH401-TODAY()&lt;180,"Por vencer","Vigente"))))</f>
        <v/>
      </c>
      <c r="AJ401" s="14"/>
    </row>
    <row r="402" customFormat="false" ht="15" hidden="false" customHeight="fals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3"/>
      <c r="AF402" s="10" t="str">
        <f aca="true">IF(A402="","",IF(AE402="","Sin probar",IF(TODAY()-AE402&gt;90,"Vencido (&gt;90 días)","OK")))</f>
        <v/>
      </c>
      <c r="AG402" s="13"/>
      <c r="AH402" s="13"/>
      <c r="AI402" s="10" t="str">
        <f aca="true">IF(A402="","",IF(AH402="","Sin dato",IF(AH402&lt;TODAY(),"SIN SOPORTE",IF(AH402-TODAY()&lt;180,"Por vencer","Vigente"))))</f>
        <v/>
      </c>
      <c r="AJ402" s="14"/>
    </row>
    <row r="403" customFormat="false" ht="15" hidden="false" customHeight="fals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3"/>
      <c r="AF403" s="10" t="str">
        <f aca="true">IF(A403="","",IF(AE403="","Sin probar",IF(TODAY()-AE403&gt;90,"Vencido (&gt;90 días)","OK")))</f>
        <v/>
      </c>
      <c r="AG403" s="13"/>
      <c r="AH403" s="13"/>
      <c r="AI403" s="10" t="str">
        <f aca="true">IF(A403="","",IF(AH403="","Sin dato",IF(AH403&lt;TODAY(),"SIN SOPORTE",IF(AH403-TODAY()&lt;180,"Por vencer","Vigente"))))</f>
        <v/>
      </c>
      <c r="AJ403" s="14"/>
    </row>
    <row r="404" customFormat="false" ht="15" hidden="false" customHeight="fals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3"/>
      <c r="AF404" s="10" t="str">
        <f aca="true">IF(A404="","",IF(AE404="","Sin probar",IF(TODAY()-AE404&gt;90,"Vencido (&gt;90 días)","OK")))</f>
        <v/>
      </c>
      <c r="AG404" s="13"/>
      <c r="AH404" s="13"/>
      <c r="AI404" s="10" t="str">
        <f aca="true">IF(A404="","",IF(AH404="","Sin dato",IF(AH404&lt;TODAY(),"SIN SOPORTE",IF(AH404-TODAY()&lt;180,"Por vencer","Vigente"))))</f>
        <v/>
      </c>
      <c r="AJ404" s="14"/>
    </row>
    <row r="405" customFormat="false" ht="15" hidden="false" customHeight="fals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3"/>
      <c r="AF405" s="10" t="str">
        <f aca="true">IF(A405="","",IF(AE405="","Sin probar",IF(TODAY()-AE405&gt;90,"Vencido (&gt;90 días)","OK")))</f>
        <v/>
      </c>
      <c r="AG405" s="13"/>
      <c r="AH405" s="13"/>
      <c r="AI405" s="10" t="str">
        <f aca="true">IF(A405="","",IF(AH405="","Sin dato",IF(AH405&lt;TODAY(),"SIN SOPORTE",IF(AH405-TODAY()&lt;180,"Por vencer","Vigente"))))</f>
        <v/>
      </c>
      <c r="AJ405" s="14"/>
    </row>
    <row r="406" customFormat="false" ht="15" hidden="false" customHeight="fals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3"/>
      <c r="AF406" s="10" t="str">
        <f aca="true">IF(A406="","",IF(AE406="","Sin probar",IF(TODAY()-AE406&gt;90,"Vencido (&gt;90 días)","OK")))</f>
        <v/>
      </c>
      <c r="AG406" s="13"/>
      <c r="AH406" s="13"/>
      <c r="AI406" s="10" t="str">
        <f aca="true">IF(A406="","",IF(AH406="","Sin dato",IF(AH406&lt;TODAY(),"SIN SOPORTE",IF(AH406-TODAY()&lt;180,"Por vencer","Vigente"))))</f>
        <v/>
      </c>
      <c r="AJ406" s="14"/>
    </row>
    <row r="407" customFormat="false" ht="15" hidden="false" customHeight="fals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3"/>
      <c r="AF407" s="10" t="str">
        <f aca="true">IF(A407="","",IF(AE407="","Sin probar",IF(TODAY()-AE407&gt;90,"Vencido (&gt;90 días)","OK")))</f>
        <v/>
      </c>
      <c r="AG407" s="13"/>
      <c r="AH407" s="13"/>
      <c r="AI407" s="10" t="str">
        <f aca="true">IF(A407="","",IF(AH407="","Sin dato",IF(AH407&lt;TODAY(),"SIN SOPORTE",IF(AH407-TODAY()&lt;180,"Por vencer","Vigente"))))</f>
        <v/>
      </c>
      <c r="AJ407" s="14"/>
    </row>
    <row r="408" customFormat="false" ht="15" hidden="false" customHeight="fals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3"/>
      <c r="AF408" s="10" t="str">
        <f aca="true">IF(A408="","",IF(AE408="","Sin probar",IF(TODAY()-AE408&gt;90,"Vencido (&gt;90 días)","OK")))</f>
        <v/>
      </c>
      <c r="AG408" s="13"/>
      <c r="AH408" s="13"/>
      <c r="AI408" s="10" t="str">
        <f aca="true">IF(A408="","",IF(AH408="","Sin dato",IF(AH408&lt;TODAY(),"SIN SOPORTE",IF(AH408-TODAY()&lt;180,"Por vencer","Vigente"))))</f>
        <v/>
      </c>
      <c r="AJ408" s="14"/>
    </row>
    <row r="409" customFormat="false" ht="15" hidden="false" customHeight="fals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3"/>
      <c r="AF409" s="10" t="str">
        <f aca="true">IF(A409="","",IF(AE409="","Sin probar",IF(TODAY()-AE409&gt;90,"Vencido (&gt;90 días)","OK")))</f>
        <v/>
      </c>
      <c r="AG409" s="13"/>
      <c r="AH409" s="13"/>
      <c r="AI409" s="10" t="str">
        <f aca="true">IF(A409="","",IF(AH409="","Sin dato",IF(AH409&lt;TODAY(),"SIN SOPORTE",IF(AH409-TODAY()&lt;180,"Por vencer","Vigente"))))</f>
        <v/>
      </c>
      <c r="AJ409" s="14"/>
    </row>
    <row r="410" customFormat="false" ht="15" hidden="false" customHeight="fals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3"/>
      <c r="AF410" s="10" t="str">
        <f aca="true">IF(A410="","",IF(AE410="","Sin probar",IF(TODAY()-AE410&gt;90,"Vencido (&gt;90 días)","OK")))</f>
        <v/>
      </c>
      <c r="AG410" s="13"/>
      <c r="AH410" s="13"/>
      <c r="AI410" s="10" t="str">
        <f aca="true">IF(A410="","",IF(AH410="","Sin dato",IF(AH410&lt;TODAY(),"SIN SOPORTE",IF(AH410-TODAY()&lt;180,"Por vencer","Vigente"))))</f>
        <v/>
      </c>
      <c r="AJ410" s="14"/>
    </row>
    <row r="411" customFormat="false" ht="15" hidden="false" customHeight="fals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3"/>
      <c r="AF411" s="10" t="str">
        <f aca="true">IF(A411="","",IF(AE411="","Sin probar",IF(TODAY()-AE411&gt;90,"Vencido (&gt;90 días)","OK")))</f>
        <v/>
      </c>
      <c r="AG411" s="13"/>
      <c r="AH411" s="13"/>
      <c r="AI411" s="10" t="str">
        <f aca="true">IF(A411="","",IF(AH411="","Sin dato",IF(AH411&lt;TODAY(),"SIN SOPORTE",IF(AH411-TODAY()&lt;180,"Por vencer","Vigente"))))</f>
        <v/>
      </c>
      <c r="AJ411" s="14"/>
    </row>
    <row r="412" customFormat="false" ht="15" hidden="false" customHeight="fals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3"/>
      <c r="AF412" s="10" t="str">
        <f aca="true">IF(A412="","",IF(AE412="","Sin probar",IF(TODAY()-AE412&gt;90,"Vencido (&gt;90 días)","OK")))</f>
        <v/>
      </c>
      <c r="AG412" s="13"/>
      <c r="AH412" s="13"/>
      <c r="AI412" s="10" t="str">
        <f aca="true">IF(A412="","",IF(AH412="","Sin dato",IF(AH412&lt;TODAY(),"SIN SOPORTE",IF(AH412-TODAY()&lt;180,"Por vencer","Vigente"))))</f>
        <v/>
      </c>
      <c r="AJ412" s="14"/>
    </row>
    <row r="413" customFormat="false" ht="15" hidden="false" customHeight="fals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3"/>
      <c r="AF413" s="10" t="str">
        <f aca="true">IF(A413="","",IF(AE413="","Sin probar",IF(TODAY()-AE413&gt;90,"Vencido (&gt;90 días)","OK")))</f>
        <v/>
      </c>
      <c r="AG413" s="13"/>
      <c r="AH413" s="13"/>
      <c r="AI413" s="10" t="str">
        <f aca="true">IF(A413="","",IF(AH413="","Sin dato",IF(AH413&lt;TODAY(),"SIN SOPORTE",IF(AH413-TODAY()&lt;180,"Por vencer","Vigente"))))</f>
        <v/>
      </c>
      <c r="AJ413" s="14"/>
    </row>
    <row r="414" customFormat="false" ht="15" hidden="false" customHeight="fals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3"/>
      <c r="AF414" s="10" t="str">
        <f aca="true">IF(A414="","",IF(AE414="","Sin probar",IF(TODAY()-AE414&gt;90,"Vencido (&gt;90 días)","OK")))</f>
        <v/>
      </c>
      <c r="AG414" s="13"/>
      <c r="AH414" s="13"/>
      <c r="AI414" s="10" t="str">
        <f aca="true">IF(A414="","",IF(AH414="","Sin dato",IF(AH414&lt;TODAY(),"SIN SOPORTE",IF(AH414-TODAY()&lt;180,"Por vencer","Vigente"))))</f>
        <v/>
      </c>
      <c r="AJ414" s="14"/>
    </row>
    <row r="415" customFormat="false" ht="15" hidden="false" customHeight="fals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3"/>
      <c r="AF415" s="10" t="str">
        <f aca="true">IF(A415="","",IF(AE415="","Sin probar",IF(TODAY()-AE415&gt;90,"Vencido (&gt;90 días)","OK")))</f>
        <v/>
      </c>
      <c r="AG415" s="13"/>
      <c r="AH415" s="13"/>
      <c r="AI415" s="10" t="str">
        <f aca="true">IF(A415="","",IF(AH415="","Sin dato",IF(AH415&lt;TODAY(),"SIN SOPORTE",IF(AH415-TODAY()&lt;180,"Por vencer","Vigente"))))</f>
        <v/>
      </c>
      <c r="AJ415" s="14"/>
    </row>
    <row r="416" customFormat="false" ht="15" hidden="false" customHeight="fals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3"/>
      <c r="AF416" s="10" t="str">
        <f aca="true">IF(A416="","",IF(AE416="","Sin probar",IF(TODAY()-AE416&gt;90,"Vencido (&gt;90 días)","OK")))</f>
        <v/>
      </c>
      <c r="AG416" s="13"/>
      <c r="AH416" s="13"/>
      <c r="AI416" s="10" t="str">
        <f aca="true">IF(A416="","",IF(AH416="","Sin dato",IF(AH416&lt;TODAY(),"SIN SOPORTE",IF(AH416-TODAY()&lt;180,"Por vencer","Vigente"))))</f>
        <v/>
      </c>
      <c r="AJ416" s="14"/>
    </row>
    <row r="417" customFormat="false" ht="15" hidden="false" customHeight="fals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3"/>
      <c r="AF417" s="10" t="str">
        <f aca="true">IF(A417="","",IF(AE417="","Sin probar",IF(TODAY()-AE417&gt;90,"Vencido (&gt;90 días)","OK")))</f>
        <v/>
      </c>
      <c r="AG417" s="13"/>
      <c r="AH417" s="13"/>
      <c r="AI417" s="10" t="str">
        <f aca="true">IF(A417="","",IF(AH417="","Sin dato",IF(AH417&lt;TODAY(),"SIN SOPORTE",IF(AH417-TODAY()&lt;180,"Por vencer","Vigente"))))</f>
        <v/>
      </c>
      <c r="AJ417" s="14"/>
    </row>
    <row r="418" customFormat="false" ht="15" hidden="false" customHeight="fals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3"/>
      <c r="AF418" s="10" t="str">
        <f aca="true">IF(A418="","",IF(AE418="","Sin probar",IF(TODAY()-AE418&gt;90,"Vencido (&gt;90 días)","OK")))</f>
        <v/>
      </c>
      <c r="AG418" s="13"/>
      <c r="AH418" s="13"/>
      <c r="AI418" s="10" t="str">
        <f aca="true">IF(A418="","",IF(AH418="","Sin dato",IF(AH418&lt;TODAY(),"SIN SOPORTE",IF(AH418-TODAY()&lt;180,"Por vencer","Vigente"))))</f>
        <v/>
      </c>
      <c r="AJ418" s="14"/>
    </row>
    <row r="419" customFormat="false" ht="15" hidden="false" customHeight="fals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3"/>
      <c r="AF419" s="10" t="str">
        <f aca="true">IF(A419="","",IF(AE419="","Sin probar",IF(TODAY()-AE419&gt;90,"Vencido (&gt;90 días)","OK")))</f>
        <v/>
      </c>
      <c r="AG419" s="13"/>
      <c r="AH419" s="13"/>
      <c r="AI419" s="10" t="str">
        <f aca="true">IF(A419="","",IF(AH419="","Sin dato",IF(AH419&lt;TODAY(),"SIN SOPORTE",IF(AH419-TODAY()&lt;180,"Por vencer","Vigente"))))</f>
        <v/>
      </c>
      <c r="AJ419" s="14"/>
    </row>
    <row r="420" customFormat="false" ht="15" hidden="false" customHeight="fals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3"/>
      <c r="AF420" s="10" t="str">
        <f aca="true">IF(A420="","",IF(AE420="","Sin probar",IF(TODAY()-AE420&gt;90,"Vencido (&gt;90 días)","OK")))</f>
        <v/>
      </c>
      <c r="AG420" s="13"/>
      <c r="AH420" s="13"/>
      <c r="AI420" s="10" t="str">
        <f aca="true">IF(A420="","",IF(AH420="","Sin dato",IF(AH420&lt;TODAY(),"SIN SOPORTE",IF(AH420-TODAY()&lt;180,"Por vencer","Vigente"))))</f>
        <v/>
      </c>
      <c r="AJ420" s="14"/>
    </row>
    <row r="421" customFormat="false" ht="15" hidden="false" customHeight="fals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3"/>
      <c r="AF421" s="10" t="str">
        <f aca="true">IF(A421="","",IF(AE421="","Sin probar",IF(TODAY()-AE421&gt;90,"Vencido (&gt;90 días)","OK")))</f>
        <v/>
      </c>
      <c r="AG421" s="13"/>
      <c r="AH421" s="13"/>
      <c r="AI421" s="10" t="str">
        <f aca="true">IF(A421="","",IF(AH421="","Sin dato",IF(AH421&lt;TODAY(),"SIN SOPORTE",IF(AH421-TODAY()&lt;180,"Por vencer","Vigente"))))</f>
        <v/>
      </c>
      <c r="AJ421" s="14"/>
    </row>
    <row r="422" customFormat="false" ht="15" hidden="false" customHeight="fals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3"/>
      <c r="AF422" s="10" t="str">
        <f aca="true">IF(A422="","",IF(AE422="","Sin probar",IF(TODAY()-AE422&gt;90,"Vencido (&gt;90 días)","OK")))</f>
        <v/>
      </c>
      <c r="AG422" s="13"/>
      <c r="AH422" s="13"/>
      <c r="AI422" s="10" t="str">
        <f aca="true">IF(A422="","",IF(AH422="","Sin dato",IF(AH422&lt;TODAY(),"SIN SOPORTE",IF(AH422-TODAY()&lt;180,"Por vencer","Vigente"))))</f>
        <v/>
      </c>
      <c r="AJ422" s="14"/>
    </row>
    <row r="423" customFormat="false" ht="15" hidden="false" customHeight="fals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3"/>
      <c r="AF423" s="10" t="str">
        <f aca="true">IF(A423="","",IF(AE423="","Sin probar",IF(TODAY()-AE423&gt;90,"Vencido (&gt;90 días)","OK")))</f>
        <v/>
      </c>
      <c r="AG423" s="13"/>
      <c r="AH423" s="13"/>
      <c r="AI423" s="10" t="str">
        <f aca="true">IF(A423="","",IF(AH423="","Sin dato",IF(AH423&lt;TODAY(),"SIN SOPORTE",IF(AH423-TODAY()&lt;180,"Por vencer","Vigente"))))</f>
        <v/>
      </c>
      <c r="AJ423" s="14"/>
    </row>
    <row r="424" customFormat="false" ht="15" hidden="false" customHeight="fals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3"/>
      <c r="AF424" s="10" t="str">
        <f aca="true">IF(A424="","",IF(AE424="","Sin probar",IF(TODAY()-AE424&gt;90,"Vencido (&gt;90 días)","OK")))</f>
        <v/>
      </c>
      <c r="AG424" s="13"/>
      <c r="AH424" s="13"/>
      <c r="AI424" s="10" t="str">
        <f aca="true">IF(A424="","",IF(AH424="","Sin dato",IF(AH424&lt;TODAY(),"SIN SOPORTE",IF(AH424-TODAY()&lt;180,"Por vencer","Vigente"))))</f>
        <v/>
      </c>
      <c r="AJ424" s="14"/>
    </row>
    <row r="425" customFormat="false" ht="15" hidden="false" customHeight="fals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3"/>
      <c r="AF425" s="10" t="str">
        <f aca="true">IF(A425="","",IF(AE425="","Sin probar",IF(TODAY()-AE425&gt;90,"Vencido (&gt;90 días)","OK")))</f>
        <v/>
      </c>
      <c r="AG425" s="13"/>
      <c r="AH425" s="13"/>
      <c r="AI425" s="10" t="str">
        <f aca="true">IF(A425="","",IF(AH425="","Sin dato",IF(AH425&lt;TODAY(),"SIN SOPORTE",IF(AH425-TODAY()&lt;180,"Por vencer","Vigente"))))</f>
        <v/>
      </c>
      <c r="AJ425" s="14"/>
    </row>
    <row r="426" customFormat="false" ht="15" hidden="false" customHeight="fals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3"/>
      <c r="AF426" s="10" t="str">
        <f aca="true">IF(A426="","",IF(AE426="","Sin probar",IF(TODAY()-AE426&gt;90,"Vencido (&gt;90 días)","OK")))</f>
        <v/>
      </c>
      <c r="AG426" s="13"/>
      <c r="AH426" s="13"/>
      <c r="AI426" s="10" t="str">
        <f aca="true">IF(A426="","",IF(AH426="","Sin dato",IF(AH426&lt;TODAY(),"SIN SOPORTE",IF(AH426-TODAY()&lt;180,"Por vencer","Vigente"))))</f>
        <v/>
      </c>
      <c r="AJ426" s="14"/>
    </row>
    <row r="427" customFormat="false" ht="15" hidden="false" customHeight="fals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3"/>
      <c r="AF427" s="10" t="str">
        <f aca="true">IF(A427="","",IF(AE427="","Sin probar",IF(TODAY()-AE427&gt;90,"Vencido (&gt;90 días)","OK")))</f>
        <v/>
      </c>
      <c r="AG427" s="13"/>
      <c r="AH427" s="13"/>
      <c r="AI427" s="10" t="str">
        <f aca="true">IF(A427="","",IF(AH427="","Sin dato",IF(AH427&lt;TODAY(),"SIN SOPORTE",IF(AH427-TODAY()&lt;180,"Por vencer","Vigente"))))</f>
        <v/>
      </c>
      <c r="AJ427" s="14"/>
    </row>
    <row r="428" customFormat="false" ht="15" hidden="false" customHeight="fals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3"/>
      <c r="AF428" s="10" t="str">
        <f aca="true">IF(A428="","",IF(AE428="","Sin probar",IF(TODAY()-AE428&gt;90,"Vencido (&gt;90 días)","OK")))</f>
        <v/>
      </c>
      <c r="AG428" s="13"/>
      <c r="AH428" s="13"/>
      <c r="AI428" s="10" t="str">
        <f aca="true">IF(A428="","",IF(AH428="","Sin dato",IF(AH428&lt;TODAY(),"SIN SOPORTE",IF(AH428-TODAY()&lt;180,"Por vencer","Vigente"))))</f>
        <v/>
      </c>
      <c r="AJ428" s="14"/>
    </row>
    <row r="429" customFormat="false" ht="15" hidden="false" customHeight="fals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3"/>
      <c r="AF429" s="10" t="str">
        <f aca="true">IF(A429="","",IF(AE429="","Sin probar",IF(TODAY()-AE429&gt;90,"Vencido (&gt;90 días)","OK")))</f>
        <v/>
      </c>
      <c r="AG429" s="13"/>
      <c r="AH429" s="13"/>
      <c r="AI429" s="10" t="str">
        <f aca="true">IF(A429="","",IF(AH429="","Sin dato",IF(AH429&lt;TODAY(),"SIN SOPORTE",IF(AH429-TODAY()&lt;180,"Por vencer","Vigente"))))</f>
        <v/>
      </c>
      <c r="AJ429" s="14"/>
    </row>
    <row r="430" customFormat="false" ht="15" hidden="false" customHeight="fals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3"/>
      <c r="AF430" s="10" t="str">
        <f aca="true">IF(A430="","",IF(AE430="","Sin probar",IF(TODAY()-AE430&gt;90,"Vencido (&gt;90 días)","OK")))</f>
        <v/>
      </c>
      <c r="AG430" s="13"/>
      <c r="AH430" s="13"/>
      <c r="AI430" s="10" t="str">
        <f aca="true">IF(A430="","",IF(AH430="","Sin dato",IF(AH430&lt;TODAY(),"SIN SOPORTE",IF(AH430-TODAY()&lt;180,"Por vencer","Vigente"))))</f>
        <v/>
      </c>
      <c r="AJ430" s="14"/>
    </row>
    <row r="431" customFormat="false" ht="15" hidden="false" customHeight="fals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3"/>
      <c r="AF431" s="10" t="str">
        <f aca="true">IF(A431="","",IF(AE431="","Sin probar",IF(TODAY()-AE431&gt;90,"Vencido (&gt;90 días)","OK")))</f>
        <v/>
      </c>
      <c r="AG431" s="13"/>
      <c r="AH431" s="13"/>
      <c r="AI431" s="10" t="str">
        <f aca="true">IF(A431="","",IF(AH431="","Sin dato",IF(AH431&lt;TODAY(),"SIN SOPORTE",IF(AH431-TODAY()&lt;180,"Por vencer","Vigente"))))</f>
        <v/>
      </c>
      <c r="AJ431" s="14"/>
    </row>
    <row r="432" customFormat="false" ht="15" hidden="false" customHeight="fals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3"/>
      <c r="AF432" s="10" t="str">
        <f aca="true">IF(A432="","",IF(AE432="","Sin probar",IF(TODAY()-AE432&gt;90,"Vencido (&gt;90 días)","OK")))</f>
        <v/>
      </c>
      <c r="AG432" s="13"/>
      <c r="AH432" s="13"/>
      <c r="AI432" s="10" t="str">
        <f aca="true">IF(A432="","",IF(AH432="","Sin dato",IF(AH432&lt;TODAY(),"SIN SOPORTE",IF(AH432-TODAY()&lt;180,"Por vencer","Vigente"))))</f>
        <v/>
      </c>
      <c r="AJ432" s="14"/>
    </row>
    <row r="433" customFormat="false" ht="15" hidden="false" customHeight="fals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3"/>
      <c r="AF433" s="10" t="str">
        <f aca="true">IF(A433="","",IF(AE433="","Sin probar",IF(TODAY()-AE433&gt;90,"Vencido (&gt;90 días)","OK")))</f>
        <v/>
      </c>
      <c r="AG433" s="13"/>
      <c r="AH433" s="13"/>
      <c r="AI433" s="10" t="str">
        <f aca="true">IF(A433="","",IF(AH433="","Sin dato",IF(AH433&lt;TODAY(),"SIN SOPORTE",IF(AH433-TODAY()&lt;180,"Por vencer","Vigente"))))</f>
        <v/>
      </c>
      <c r="AJ433" s="14"/>
    </row>
    <row r="434" customFormat="false" ht="15" hidden="false" customHeight="fals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3"/>
      <c r="AF434" s="10" t="str">
        <f aca="true">IF(A434="","",IF(AE434="","Sin probar",IF(TODAY()-AE434&gt;90,"Vencido (&gt;90 días)","OK")))</f>
        <v/>
      </c>
      <c r="AG434" s="13"/>
      <c r="AH434" s="13"/>
      <c r="AI434" s="10" t="str">
        <f aca="true">IF(A434="","",IF(AH434="","Sin dato",IF(AH434&lt;TODAY(),"SIN SOPORTE",IF(AH434-TODAY()&lt;180,"Por vencer","Vigente"))))</f>
        <v/>
      </c>
      <c r="AJ434" s="14"/>
    </row>
    <row r="435" customFormat="false" ht="15" hidden="false" customHeight="fals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3"/>
      <c r="AF435" s="10" t="str">
        <f aca="true">IF(A435="","",IF(AE435="","Sin probar",IF(TODAY()-AE435&gt;90,"Vencido (&gt;90 días)","OK")))</f>
        <v/>
      </c>
      <c r="AG435" s="13"/>
      <c r="AH435" s="13"/>
      <c r="AI435" s="10" t="str">
        <f aca="true">IF(A435="","",IF(AH435="","Sin dato",IF(AH435&lt;TODAY(),"SIN SOPORTE",IF(AH435-TODAY()&lt;180,"Por vencer","Vigente"))))</f>
        <v/>
      </c>
      <c r="AJ435" s="14"/>
    </row>
    <row r="436" customFormat="false" ht="15" hidden="false" customHeight="fals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3"/>
      <c r="AF436" s="10" t="str">
        <f aca="true">IF(A436="","",IF(AE436="","Sin probar",IF(TODAY()-AE436&gt;90,"Vencido (&gt;90 días)","OK")))</f>
        <v/>
      </c>
      <c r="AG436" s="13"/>
      <c r="AH436" s="13"/>
      <c r="AI436" s="10" t="str">
        <f aca="true">IF(A436="","",IF(AH436="","Sin dato",IF(AH436&lt;TODAY(),"SIN SOPORTE",IF(AH436-TODAY()&lt;180,"Por vencer","Vigente"))))</f>
        <v/>
      </c>
      <c r="AJ436" s="14"/>
    </row>
    <row r="437" customFormat="false" ht="15" hidden="false" customHeight="fals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3"/>
      <c r="AF437" s="10" t="str">
        <f aca="true">IF(A437="","",IF(AE437="","Sin probar",IF(TODAY()-AE437&gt;90,"Vencido (&gt;90 días)","OK")))</f>
        <v/>
      </c>
      <c r="AG437" s="13"/>
      <c r="AH437" s="13"/>
      <c r="AI437" s="10" t="str">
        <f aca="true">IF(A437="","",IF(AH437="","Sin dato",IF(AH437&lt;TODAY(),"SIN SOPORTE",IF(AH437-TODAY()&lt;180,"Por vencer","Vigente"))))</f>
        <v/>
      </c>
      <c r="AJ437" s="14"/>
    </row>
    <row r="438" customFormat="false" ht="15" hidden="false" customHeight="fals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3"/>
      <c r="AF438" s="10" t="str">
        <f aca="true">IF(A438="","",IF(AE438="","Sin probar",IF(TODAY()-AE438&gt;90,"Vencido (&gt;90 días)","OK")))</f>
        <v/>
      </c>
      <c r="AG438" s="13"/>
      <c r="AH438" s="13"/>
      <c r="AI438" s="10" t="str">
        <f aca="true">IF(A438="","",IF(AH438="","Sin dato",IF(AH438&lt;TODAY(),"SIN SOPORTE",IF(AH438-TODAY()&lt;180,"Por vencer","Vigente"))))</f>
        <v/>
      </c>
      <c r="AJ438" s="14"/>
    </row>
    <row r="439" customFormat="false" ht="15" hidden="false" customHeight="fals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3"/>
      <c r="AF439" s="10" t="str">
        <f aca="true">IF(A439="","",IF(AE439="","Sin probar",IF(TODAY()-AE439&gt;90,"Vencido (&gt;90 días)","OK")))</f>
        <v/>
      </c>
      <c r="AG439" s="13"/>
      <c r="AH439" s="13"/>
      <c r="AI439" s="10" t="str">
        <f aca="true">IF(A439="","",IF(AH439="","Sin dato",IF(AH439&lt;TODAY(),"SIN SOPORTE",IF(AH439-TODAY()&lt;180,"Por vencer","Vigente"))))</f>
        <v/>
      </c>
      <c r="AJ439" s="14"/>
    </row>
    <row r="440" customFormat="false" ht="15" hidden="false" customHeight="fals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3"/>
      <c r="AF440" s="10" t="str">
        <f aca="true">IF(A440="","",IF(AE440="","Sin probar",IF(TODAY()-AE440&gt;90,"Vencido (&gt;90 días)","OK")))</f>
        <v/>
      </c>
      <c r="AG440" s="13"/>
      <c r="AH440" s="13"/>
      <c r="AI440" s="10" t="str">
        <f aca="true">IF(A440="","",IF(AH440="","Sin dato",IF(AH440&lt;TODAY(),"SIN SOPORTE",IF(AH440-TODAY()&lt;180,"Por vencer","Vigente"))))</f>
        <v/>
      </c>
      <c r="AJ440" s="14"/>
    </row>
    <row r="441" customFormat="false" ht="15" hidden="false" customHeight="fals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3"/>
      <c r="AF441" s="10" t="str">
        <f aca="true">IF(A441="","",IF(AE441="","Sin probar",IF(TODAY()-AE441&gt;90,"Vencido (&gt;90 días)","OK")))</f>
        <v/>
      </c>
      <c r="AG441" s="13"/>
      <c r="AH441" s="13"/>
      <c r="AI441" s="10" t="str">
        <f aca="true">IF(A441="","",IF(AH441="","Sin dato",IF(AH441&lt;TODAY(),"SIN SOPORTE",IF(AH441-TODAY()&lt;180,"Por vencer","Vigente"))))</f>
        <v/>
      </c>
      <c r="AJ441" s="14"/>
    </row>
    <row r="442" customFormat="false" ht="15" hidden="false" customHeight="fals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3"/>
      <c r="AF442" s="10" t="str">
        <f aca="true">IF(A442="","",IF(AE442="","Sin probar",IF(TODAY()-AE442&gt;90,"Vencido (&gt;90 días)","OK")))</f>
        <v/>
      </c>
      <c r="AG442" s="13"/>
      <c r="AH442" s="13"/>
      <c r="AI442" s="10" t="str">
        <f aca="true">IF(A442="","",IF(AH442="","Sin dato",IF(AH442&lt;TODAY(),"SIN SOPORTE",IF(AH442-TODAY()&lt;180,"Por vencer","Vigente"))))</f>
        <v/>
      </c>
      <c r="AJ442" s="14"/>
    </row>
    <row r="443" customFormat="false" ht="15" hidden="false" customHeight="fals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3"/>
      <c r="AF443" s="10" t="str">
        <f aca="true">IF(A443="","",IF(AE443="","Sin probar",IF(TODAY()-AE443&gt;90,"Vencido (&gt;90 días)","OK")))</f>
        <v/>
      </c>
      <c r="AG443" s="13"/>
      <c r="AH443" s="13"/>
      <c r="AI443" s="10" t="str">
        <f aca="true">IF(A443="","",IF(AH443="","Sin dato",IF(AH443&lt;TODAY(),"SIN SOPORTE",IF(AH443-TODAY()&lt;180,"Por vencer","Vigente"))))</f>
        <v/>
      </c>
      <c r="AJ443" s="14"/>
    </row>
    <row r="444" customFormat="false" ht="15" hidden="false" customHeight="fals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3"/>
      <c r="AF444" s="10" t="str">
        <f aca="true">IF(A444="","",IF(AE444="","Sin probar",IF(TODAY()-AE444&gt;90,"Vencido (&gt;90 días)","OK")))</f>
        <v/>
      </c>
      <c r="AG444" s="13"/>
      <c r="AH444" s="13"/>
      <c r="AI444" s="10" t="str">
        <f aca="true">IF(A444="","",IF(AH444="","Sin dato",IF(AH444&lt;TODAY(),"SIN SOPORTE",IF(AH444-TODAY()&lt;180,"Por vencer","Vigente"))))</f>
        <v/>
      </c>
      <c r="AJ444" s="14"/>
    </row>
    <row r="445" customFormat="false" ht="15" hidden="false" customHeight="fals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3"/>
      <c r="AF445" s="10" t="str">
        <f aca="true">IF(A445="","",IF(AE445="","Sin probar",IF(TODAY()-AE445&gt;90,"Vencido (&gt;90 días)","OK")))</f>
        <v/>
      </c>
      <c r="AG445" s="13"/>
      <c r="AH445" s="13"/>
      <c r="AI445" s="10" t="str">
        <f aca="true">IF(A445="","",IF(AH445="","Sin dato",IF(AH445&lt;TODAY(),"SIN SOPORTE",IF(AH445-TODAY()&lt;180,"Por vencer","Vigente"))))</f>
        <v/>
      </c>
      <c r="AJ445" s="14"/>
    </row>
    <row r="446" customFormat="false" ht="15" hidden="false" customHeight="fals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3"/>
      <c r="AF446" s="10" t="str">
        <f aca="true">IF(A446="","",IF(AE446="","Sin probar",IF(TODAY()-AE446&gt;90,"Vencido (&gt;90 días)","OK")))</f>
        <v/>
      </c>
      <c r="AG446" s="13"/>
      <c r="AH446" s="13"/>
      <c r="AI446" s="10" t="str">
        <f aca="true">IF(A446="","",IF(AH446="","Sin dato",IF(AH446&lt;TODAY(),"SIN SOPORTE",IF(AH446-TODAY()&lt;180,"Por vencer","Vigente"))))</f>
        <v/>
      </c>
      <c r="AJ446" s="14"/>
    </row>
    <row r="447" customFormat="false" ht="15" hidden="false" customHeight="fals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3"/>
      <c r="AF447" s="10" t="str">
        <f aca="true">IF(A447="","",IF(AE447="","Sin probar",IF(TODAY()-AE447&gt;90,"Vencido (&gt;90 días)","OK")))</f>
        <v/>
      </c>
      <c r="AG447" s="13"/>
      <c r="AH447" s="13"/>
      <c r="AI447" s="10" t="str">
        <f aca="true">IF(A447="","",IF(AH447="","Sin dato",IF(AH447&lt;TODAY(),"SIN SOPORTE",IF(AH447-TODAY()&lt;180,"Por vencer","Vigente"))))</f>
        <v/>
      </c>
      <c r="AJ447" s="14"/>
    </row>
    <row r="448" customFormat="false" ht="15" hidden="false" customHeight="fals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3"/>
      <c r="AF448" s="10" t="str">
        <f aca="true">IF(A448="","",IF(AE448="","Sin probar",IF(TODAY()-AE448&gt;90,"Vencido (&gt;90 días)","OK")))</f>
        <v/>
      </c>
      <c r="AG448" s="13"/>
      <c r="AH448" s="13"/>
      <c r="AI448" s="10" t="str">
        <f aca="true">IF(A448="","",IF(AH448="","Sin dato",IF(AH448&lt;TODAY(),"SIN SOPORTE",IF(AH448-TODAY()&lt;180,"Por vencer","Vigente"))))</f>
        <v/>
      </c>
      <c r="AJ448" s="14"/>
    </row>
    <row r="449" customFormat="false" ht="15" hidden="false" customHeight="fals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3"/>
      <c r="AF449" s="10" t="str">
        <f aca="true">IF(A449="","",IF(AE449="","Sin probar",IF(TODAY()-AE449&gt;90,"Vencido (&gt;90 días)","OK")))</f>
        <v/>
      </c>
      <c r="AG449" s="13"/>
      <c r="AH449" s="13"/>
      <c r="AI449" s="10" t="str">
        <f aca="true">IF(A449="","",IF(AH449="","Sin dato",IF(AH449&lt;TODAY(),"SIN SOPORTE",IF(AH449-TODAY()&lt;180,"Por vencer","Vigente"))))</f>
        <v/>
      </c>
      <c r="AJ449" s="14"/>
    </row>
    <row r="450" customFormat="false" ht="15" hidden="false" customHeight="fals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3"/>
      <c r="AF450" s="10" t="str">
        <f aca="true">IF(A450="","",IF(AE450="","Sin probar",IF(TODAY()-AE450&gt;90,"Vencido (&gt;90 días)","OK")))</f>
        <v/>
      </c>
      <c r="AG450" s="13"/>
      <c r="AH450" s="13"/>
      <c r="AI450" s="10" t="str">
        <f aca="true">IF(A450="","",IF(AH450="","Sin dato",IF(AH450&lt;TODAY(),"SIN SOPORTE",IF(AH450-TODAY()&lt;180,"Por vencer","Vigente"))))</f>
        <v/>
      </c>
      <c r="AJ450" s="14"/>
    </row>
    <row r="451" customFormat="false" ht="15" hidden="false" customHeight="fals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3"/>
      <c r="AF451" s="10" t="str">
        <f aca="true">IF(A451="","",IF(AE451="","Sin probar",IF(TODAY()-AE451&gt;90,"Vencido (&gt;90 días)","OK")))</f>
        <v/>
      </c>
      <c r="AG451" s="13"/>
      <c r="AH451" s="13"/>
      <c r="AI451" s="10" t="str">
        <f aca="true">IF(A451="","",IF(AH451="","Sin dato",IF(AH451&lt;TODAY(),"SIN SOPORTE",IF(AH451-TODAY()&lt;180,"Por vencer","Vigente"))))</f>
        <v/>
      </c>
      <c r="AJ451" s="14"/>
    </row>
    <row r="452" customFormat="false" ht="15" hidden="false" customHeight="fals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3"/>
      <c r="AF452" s="10" t="str">
        <f aca="true">IF(A452="","",IF(AE452="","Sin probar",IF(TODAY()-AE452&gt;90,"Vencido (&gt;90 días)","OK")))</f>
        <v/>
      </c>
      <c r="AG452" s="13"/>
      <c r="AH452" s="13"/>
      <c r="AI452" s="10" t="str">
        <f aca="true">IF(A452="","",IF(AH452="","Sin dato",IF(AH452&lt;TODAY(),"SIN SOPORTE",IF(AH452-TODAY()&lt;180,"Por vencer","Vigente"))))</f>
        <v/>
      </c>
      <c r="AJ452" s="14"/>
    </row>
    <row r="453" customFormat="false" ht="15" hidden="false" customHeight="fals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3"/>
      <c r="AF453" s="10" t="str">
        <f aca="true">IF(A453="","",IF(AE453="","Sin probar",IF(TODAY()-AE453&gt;90,"Vencido (&gt;90 días)","OK")))</f>
        <v/>
      </c>
      <c r="AG453" s="13"/>
      <c r="AH453" s="13"/>
      <c r="AI453" s="10" t="str">
        <f aca="true">IF(A453="","",IF(AH453="","Sin dato",IF(AH453&lt;TODAY(),"SIN SOPORTE",IF(AH453-TODAY()&lt;180,"Por vencer","Vigente"))))</f>
        <v/>
      </c>
      <c r="AJ453" s="14"/>
    </row>
    <row r="454" customFormat="false" ht="15" hidden="false" customHeight="fals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3"/>
      <c r="AF454" s="10" t="str">
        <f aca="true">IF(A454="","",IF(AE454="","Sin probar",IF(TODAY()-AE454&gt;90,"Vencido (&gt;90 días)","OK")))</f>
        <v/>
      </c>
      <c r="AG454" s="13"/>
      <c r="AH454" s="13"/>
      <c r="AI454" s="10" t="str">
        <f aca="true">IF(A454="","",IF(AH454="","Sin dato",IF(AH454&lt;TODAY(),"SIN SOPORTE",IF(AH454-TODAY()&lt;180,"Por vencer","Vigente"))))</f>
        <v/>
      </c>
      <c r="AJ454" s="14"/>
    </row>
    <row r="455" customFormat="false" ht="15" hidden="false" customHeight="fals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3"/>
      <c r="AF455" s="10" t="str">
        <f aca="true">IF(A455="","",IF(AE455="","Sin probar",IF(TODAY()-AE455&gt;90,"Vencido (&gt;90 días)","OK")))</f>
        <v/>
      </c>
      <c r="AG455" s="13"/>
      <c r="AH455" s="13"/>
      <c r="AI455" s="10" t="str">
        <f aca="true">IF(A455="","",IF(AH455="","Sin dato",IF(AH455&lt;TODAY(),"SIN SOPORTE",IF(AH455-TODAY()&lt;180,"Por vencer","Vigente"))))</f>
        <v/>
      </c>
      <c r="AJ455" s="14"/>
    </row>
    <row r="456" customFormat="false" ht="15" hidden="false" customHeight="fals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3"/>
      <c r="AF456" s="10" t="str">
        <f aca="true">IF(A456="","",IF(AE456="","Sin probar",IF(TODAY()-AE456&gt;90,"Vencido (&gt;90 días)","OK")))</f>
        <v/>
      </c>
      <c r="AG456" s="13"/>
      <c r="AH456" s="13"/>
      <c r="AI456" s="10" t="str">
        <f aca="true">IF(A456="","",IF(AH456="","Sin dato",IF(AH456&lt;TODAY(),"SIN SOPORTE",IF(AH456-TODAY()&lt;180,"Por vencer","Vigente"))))</f>
        <v/>
      </c>
      <c r="AJ456" s="14"/>
    </row>
    <row r="457" customFormat="false" ht="15" hidden="false" customHeight="fals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3"/>
      <c r="AF457" s="10" t="str">
        <f aca="true">IF(A457="","",IF(AE457="","Sin probar",IF(TODAY()-AE457&gt;90,"Vencido (&gt;90 días)","OK")))</f>
        <v/>
      </c>
      <c r="AG457" s="13"/>
      <c r="AH457" s="13"/>
      <c r="AI457" s="10" t="str">
        <f aca="true">IF(A457="","",IF(AH457="","Sin dato",IF(AH457&lt;TODAY(),"SIN SOPORTE",IF(AH457-TODAY()&lt;180,"Por vencer","Vigente"))))</f>
        <v/>
      </c>
      <c r="AJ457" s="14"/>
    </row>
    <row r="458" customFormat="false" ht="15" hidden="false" customHeight="fals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3"/>
      <c r="AF458" s="10" t="str">
        <f aca="true">IF(A458="","",IF(AE458="","Sin probar",IF(TODAY()-AE458&gt;90,"Vencido (&gt;90 días)","OK")))</f>
        <v/>
      </c>
      <c r="AG458" s="13"/>
      <c r="AH458" s="13"/>
      <c r="AI458" s="10" t="str">
        <f aca="true">IF(A458="","",IF(AH458="","Sin dato",IF(AH458&lt;TODAY(),"SIN SOPORTE",IF(AH458-TODAY()&lt;180,"Por vencer","Vigente"))))</f>
        <v/>
      </c>
      <c r="AJ458" s="14"/>
    </row>
    <row r="459" customFormat="false" ht="15" hidden="false" customHeight="fals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3"/>
      <c r="AF459" s="10" t="str">
        <f aca="true">IF(A459="","",IF(AE459="","Sin probar",IF(TODAY()-AE459&gt;90,"Vencido (&gt;90 días)","OK")))</f>
        <v/>
      </c>
      <c r="AG459" s="13"/>
      <c r="AH459" s="13"/>
      <c r="AI459" s="10" t="str">
        <f aca="true">IF(A459="","",IF(AH459="","Sin dato",IF(AH459&lt;TODAY(),"SIN SOPORTE",IF(AH459-TODAY()&lt;180,"Por vencer","Vigente"))))</f>
        <v/>
      </c>
      <c r="AJ459" s="14"/>
    </row>
    <row r="460" customFormat="false" ht="15" hidden="false" customHeight="fals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3"/>
      <c r="AF460" s="10" t="str">
        <f aca="true">IF(A460="","",IF(AE460="","Sin probar",IF(TODAY()-AE460&gt;90,"Vencido (&gt;90 días)","OK")))</f>
        <v/>
      </c>
      <c r="AG460" s="13"/>
      <c r="AH460" s="13"/>
      <c r="AI460" s="10" t="str">
        <f aca="true">IF(A460="","",IF(AH460="","Sin dato",IF(AH460&lt;TODAY(),"SIN SOPORTE",IF(AH460-TODAY()&lt;180,"Por vencer","Vigente"))))</f>
        <v/>
      </c>
      <c r="AJ460" s="14"/>
    </row>
    <row r="461" customFormat="false" ht="15" hidden="false" customHeight="fals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3"/>
      <c r="AF461" s="10" t="str">
        <f aca="true">IF(A461="","",IF(AE461="","Sin probar",IF(TODAY()-AE461&gt;90,"Vencido (&gt;90 días)","OK")))</f>
        <v/>
      </c>
      <c r="AG461" s="13"/>
      <c r="AH461" s="13"/>
      <c r="AI461" s="10" t="str">
        <f aca="true">IF(A461="","",IF(AH461="","Sin dato",IF(AH461&lt;TODAY(),"SIN SOPORTE",IF(AH461-TODAY()&lt;180,"Por vencer","Vigente"))))</f>
        <v/>
      </c>
      <c r="AJ461" s="14"/>
    </row>
    <row r="462" customFormat="false" ht="15" hidden="false" customHeight="fals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3"/>
      <c r="AF462" s="10" t="str">
        <f aca="true">IF(A462="","",IF(AE462="","Sin probar",IF(TODAY()-AE462&gt;90,"Vencido (&gt;90 días)","OK")))</f>
        <v/>
      </c>
      <c r="AG462" s="13"/>
      <c r="AH462" s="13"/>
      <c r="AI462" s="10" t="str">
        <f aca="true">IF(A462="","",IF(AH462="","Sin dato",IF(AH462&lt;TODAY(),"SIN SOPORTE",IF(AH462-TODAY()&lt;180,"Por vencer","Vigente"))))</f>
        <v/>
      </c>
      <c r="AJ462" s="14"/>
    </row>
    <row r="463" customFormat="false" ht="15" hidden="false" customHeight="fals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3"/>
      <c r="AF463" s="10" t="str">
        <f aca="true">IF(A463="","",IF(AE463="","Sin probar",IF(TODAY()-AE463&gt;90,"Vencido (&gt;90 días)","OK")))</f>
        <v/>
      </c>
      <c r="AG463" s="13"/>
      <c r="AH463" s="13"/>
      <c r="AI463" s="10" t="str">
        <f aca="true">IF(A463="","",IF(AH463="","Sin dato",IF(AH463&lt;TODAY(),"SIN SOPORTE",IF(AH463-TODAY()&lt;180,"Por vencer","Vigente"))))</f>
        <v/>
      </c>
      <c r="AJ463" s="14"/>
    </row>
    <row r="464" customFormat="false" ht="15" hidden="false" customHeight="fals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3"/>
      <c r="AF464" s="10" t="str">
        <f aca="true">IF(A464="","",IF(AE464="","Sin probar",IF(TODAY()-AE464&gt;90,"Vencido (&gt;90 días)","OK")))</f>
        <v/>
      </c>
      <c r="AG464" s="13"/>
      <c r="AH464" s="13"/>
      <c r="AI464" s="10" t="str">
        <f aca="true">IF(A464="","",IF(AH464="","Sin dato",IF(AH464&lt;TODAY(),"SIN SOPORTE",IF(AH464-TODAY()&lt;180,"Por vencer","Vigente"))))</f>
        <v/>
      </c>
      <c r="AJ464" s="14"/>
    </row>
    <row r="465" customFormat="false" ht="15" hidden="false" customHeight="fals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3"/>
      <c r="AF465" s="10" t="str">
        <f aca="true">IF(A465="","",IF(AE465="","Sin probar",IF(TODAY()-AE465&gt;90,"Vencido (&gt;90 días)","OK")))</f>
        <v/>
      </c>
      <c r="AG465" s="13"/>
      <c r="AH465" s="13"/>
      <c r="AI465" s="10" t="str">
        <f aca="true">IF(A465="","",IF(AH465="","Sin dato",IF(AH465&lt;TODAY(),"SIN SOPORTE",IF(AH465-TODAY()&lt;180,"Por vencer","Vigente"))))</f>
        <v/>
      </c>
      <c r="AJ465" s="14"/>
    </row>
    <row r="466" customFormat="false" ht="15" hidden="false" customHeight="fals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3"/>
      <c r="AF466" s="10" t="str">
        <f aca="true">IF(A466="","",IF(AE466="","Sin probar",IF(TODAY()-AE466&gt;90,"Vencido (&gt;90 días)","OK")))</f>
        <v/>
      </c>
      <c r="AG466" s="13"/>
      <c r="AH466" s="13"/>
      <c r="AI466" s="10" t="str">
        <f aca="true">IF(A466="","",IF(AH466="","Sin dato",IF(AH466&lt;TODAY(),"SIN SOPORTE",IF(AH466-TODAY()&lt;180,"Por vencer","Vigente"))))</f>
        <v/>
      </c>
      <c r="AJ466" s="14"/>
    </row>
    <row r="467" customFormat="false" ht="15" hidden="false" customHeight="fals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3"/>
      <c r="AF467" s="10" t="str">
        <f aca="true">IF(A467="","",IF(AE467="","Sin probar",IF(TODAY()-AE467&gt;90,"Vencido (&gt;90 días)","OK")))</f>
        <v/>
      </c>
      <c r="AG467" s="13"/>
      <c r="AH467" s="13"/>
      <c r="AI467" s="10" t="str">
        <f aca="true">IF(A467="","",IF(AH467="","Sin dato",IF(AH467&lt;TODAY(),"SIN SOPORTE",IF(AH467-TODAY()&lt;180,"Por vencer","Vigente"))))</f>
        <v/>
      </c>
      <c r="AJ467" s="14"/>
    </row>
    <row r="468" customFormat="false" ht="15" hidden="false" customHeight="fals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3"/>
      <c r="AF468" s="10" t="str">
        <f aca="true">IF(A468="","",IF(AE468="","Sin probar",IF(TODAY()-AE468&gt;90,"Vencido (&gt;90 días)","OK")))</f>
        <v/>
      </c>
      <c r="AG468" s="13"/>
      <c r="AH468" s="13"/>
      <c r="AI468" s="10" t="str">
        <f aca="true">IF(A468="","",IF(AH468="","Sin dato",IF(AH468&lt;TODAY(),"SIN SOPORTE",IF(AH468-TODAY()&lt;180,"Por vencer","Vigente"))))</f>
        <v/>
      </c>
      <c r="AJ468" s="14"/>
    </row>
    <row r="469" customFormat="false" ht="15" hidden="false" customHeight="fals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3"/>
      <c r="AF469" s="10" t="str">
        <f aca="true">IF(A469="","",IF(AE469="","Sin probar",IF(TODAY()-AE469&gt;90,"Vencido (&gt;90 días)","OK")))</f>
        <v/>
      </c>
      <c r="AG469" s="13"/>
      <c r="AH469" s="13"/>
      <c r="AI469" s="10" t="str">
        <f aca="true">IF(A469="","",IF(AH469="","Sin dato",IF(AH469&lt;TODAY(),"SIN SOPORTE",IF(AH469-TODAY()&lt;180,"Por vencer","Vigente"))))</f>
        <v/>
      </c>
      <c r="AJ469" s="14"/>
    </row>
    <row r="470" customFormat="false" ht="15" hidden="false" customHeight="fals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3"/>
      <c r="AF470" s="10" t="str">
        <f aca="true">IF(A470="","",IF(AE470="","Sin probar",IF(TODAY()-AE470&gt;90,"Vencido (&gt;90 días)","OK")))</f>
        <v/>
      </c>
      <c r="AG470" s="13"/>
      <c r="AH470" s="13"/>
      <c r="AI470" s="10" t="str">
        <f aca="true">IF(A470="","",IF(AH470="","Sin dato",IF(AH470&lt;TODAY(),"SIN SOPORTE",IF(AH470-TODAY()&lt;180,"Por vencer","Vigente"))))</f>
        <v/>
      </c>
      <c r="AJ470" s="14"/>
    </row>
    <row r="471" customFormat="false" ht="15" hidden="false" customHeight="fals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3"/>
      <c r="AF471" s="10" t="str">
        <f aca="true">IF(A471="","",IF(AE471="","Sin probar",IF(TODAY()-AE471&gt;90,"Vencido (&gt;90 días)","OK")))</f>
        <v/>
      </c>
      <c r="AG471" s="13"/>
      <c r="AH471" s="13"/>
      <c r="AI471" s="10" t="str">
        <f aca="true">IF(A471="","",IF(AH471="","Sin dato",IF(AH471&lt;TODAY(),"SIN SOPORTE",IF(AH471-TODAY()&lt;180,"Por vencer","Vigente"))))</f>
        <v/>
      </c>
      <c r="AJ471" s="14"/>
    </row>
    <row r="472" customFormat="false" ht="15" hidden="false" customHeight="fals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3"/>
      <c r="AF472" s="10" t="str">
        <f aca="true">IF(A472="","",IF(AE472="","Sin probar",IF(TODAY()-AE472&gt;90,"Vencido (&gt;90 días)","OK")))</f>
        <v/>
      </c>
      <c r="AG472" s="13"/>
      <c r="AH472" s="13"/>
      <c r="AI472" s="10" t="str">
        <f aca="true">IF(A472="","",IF(AH472="","Sin dato",IF(AH472&lt;TODAY(),"SIN SOPORTE",IF(AH472-TODAY()&lt;180,"Por vencer","Vigente"))))</f>
        <v/>
      </c>
      <c r="AJ472" s="14"/>
    </row>
    <row r="473" customFormat="false" ht="15" hidden="false" customHeight="fals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3"/>
      <c r="AF473" s="10" t="str">
        <f aca="true">IF(A473="","",IF(AE473="","Sin probar",IF(TODAY()-AE473&gt;90,"Vencido (&gt;90 días)","OK")))</f>
        <v/>
      </c>
      <c r="AG473" s="13"/>
      <c r="AH473" s="13"/>
      <c r="AI473" s="10" t="str">
        <f aca="true">IF(A473="","",IF(AH473="","Sin dato",IF(AH473&lt;TODAY(),"SIN SOPORTE",IF(AH473-TODAY()&lt;180,"Por vencer","Vigente"))))</f>
        <v/>
      </c>
      <c r="AJ473" s="14"/>
    </row>
    <row r="474" customFormat="false" ht="15" hidden="false" customHeight="fals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3"/>
      <c r="AF474" s="10" t="str">
        <f aca="true">IF(A474="","",IF(AE474="","Sin probar",IF(TODAY()-AE474&gt;90,"Vencido (&gt;90 días)","OK")))</f>
        <v/>
      </c>
      <c r="AG474" s="13"/>
      <c r="AH474" s="13"/>
      <c r="AI474" s="10" t="str">
        <f aca="true">IF(A474="","",IF(AH474="","Sin dato",IF(AH474&lt;TODAY(),"SIN SOPORTE",IF(AH474-TODAY()&lt;180,"Por vencer","Vigente"))))</f>
        <v/>
      </c>
      <c r="AJ474" s="14"/>
    </row>
    <row r="475" customFormat="false" ht="15" hidden="false" customHeight="fals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3"/>
      <c r="AF475" s="10" t="str">
        <f aca="true">IF(A475="","",IF(AE475="","Sin probar",IF(TODAY()-AE475&gt;90,"Vencido (&gt;90 días)","OK")))</f>
        <v/>
      </c>
      <c r="AG475" s="13"/>
      <c r="AH475" s="13"/>
      <c r="AI475" s="10" t="str">
        <f aca="true">IF(A475="","",IF(AH475="","Sin dato",IF(AH475&lt;TODAY(),"SIN SOPORTE",IF(AH475-TODAY()&lt;180,"Por vencer","Vigente"))))</f>
        <v/>
      </c>
      <c r="AJ475" s="14"/>
    </row>
    <row r="476" customFormat="false" ht="15" hidden="false" customHeight="fals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3"/>
      <c r="AF476" s="10" t="str">
        <f aca="true">IF(A476="","",IF(AE476="","Sin probar",IF(TODAY()-AE476&gt;90,"Vencido (&gt;90 días)","OK")))</f>
        <v/>
      </c>
      <c r="AG476" s="13"/>
      <c r="AH476" s="13"/>
      <c r="AI476" s="10" t="str">
        <f aca="true">IF(A476="","",IF(AH476="","Sin dato",IF(AH476&lt;TODAY(),"SIN SOPORTE",IF(AH476-TODAY()&lt;180,"Por vencer","Vigente"))))</f>
        <v/>
      </c>
      <c r="AJ476" s="14"/>
    </row>
    <row r="477" customFormat="false" ht="15" hidden="false" customHeight="fals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3"/>
      <c r="AF477" s="10" t="str">
        <f aca="true">IF(A477="","",IF(AE477="","Sin probar",IF(TODAY()-AE477&gt;90,"Vencido (&gt;90 días)","OK")))</f>
        <v/>
      </c>
      <c r="AG477" s="13"/>
      <c r="AH477" s="13"/>
      <c r="AI477" s="10" t="str">
        <f aca="true">IF(A477="","",IF(AH477="","Sin dato",IF(AH477&lt;TODAY(),"SIN SOPORTE",IF(AH477-TODAY()&lt;180,"Por vencer","Vigente"))))</f>
        <v/>
      </c>
      <c r="AJ477" s="14"/>
    </row>
    <row r="478" customFormat="false" ht="15" hidden="false" customHeight="fals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3"/>
      <c r="AF478" s="10" t="str">
        <f aca="true">IF(A478="","",IF(AE478="","Sin probar",IF(TODAY()-AE478&gt;90,"Vencido (&gt;90 días)","OK")))</f>
        <v/>
      </c>
      <c r="AG478" s="13"/>
      <c r="AH478" s="13"/>
      <c r="AI478" s="10" t="str">
        <f aca="true">IF(A478="","",IF(AH478="","Sin dato",IF(AH478&lt;TODAY(),"SIN SOPORTE",IF(AH478-TODAY()&lt;180,"Por vencer","Vigente"))))</f>
        <v/>
      </c>
      <c r="AJ478" s="14"/>
    </row>
    <row r="479" customFormat="false" ht="15" hidden="false" customHeight="fals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3"/>
      <c r="AF479" s="10" t="str">
        <f aca="true">IF(A479="","",IF(AE479="","Sin probar",IF(TODAY()-AE479&gt;90,"Vencido (&gt;90 días)","OK")))</f>
        <v/>
      </c>
      <c r="AG479" s="13"/>
      <c r="AH479" s="13"/>
      <c r="AI479" s="10" t="str">
        <f aca="true">IF(A479="","",IF(AH479="","Sin dato",IF(AH479&lt;TODAY(),"SIN SOPORTE",IF(AH479-TODAY()&lt;180,"Por vencer","Vigente"))))</f>
        <v/>
      </c>
      <c r="AJ479" s="14"/>
    </row>
    <row r="480" customFormat="false" ht="15" hidden="false" customHeight="fals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3"/>
      <c r="AF480" s="10" t="str">
        <f aca="true">IF(A480="","",IF(AE480="","Sin probar",IF(TODAY()-AE480&gt;90,"Vencido (&gt;90 días)","OK")))</f>
        <v/>
      </c>
      <c r="AG480" s="13"/>
      <c r="AH480" s="13"/>
      <c r="AI480" s="10" t="str">
        <f aca="true">IF(A480="","",IF(AH480="","Sin dato",IF(AH480&lt;TODAY(),"SIN SOPORTE",IF(AH480-TODAY()&lt;180,"Por vencer","Vigente"))))</f>
        <v/>
      </c>
      <c r="AJ480" s="14"/>
    </row>
    <row r="481" customFormat="false" ht="15" hidden="false" customHeight="fals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3"/>
      <c r="AF481" s="10" t="str">
        <f aca="true">IF(A481="","",IF(AE481="","Sin probar",IF(TODAY()-AE481&gt;90,"Vencido (&gt;90 días)","OK")))</f>
        <v/>
      </c>
      <c r="AG481" s="13"/>
      <c r="AH481" s="13"/>
      <c r="AI481" s="10" t="str">
        <f aca="true">IF(A481="","",IF(AH481="","Sin dato",IF(AH481&lt;TODAY(),"SIN SOPORTE",IF(AH481-TODAY()&lt;180,"Por vencer","Vigente"))))</f>
        <v/>
      </c>
      <c r="AJ481" s="14"/>
    </row>
    <row r="482" customFormat="false" ht="15" hidden="false" customHeight="fals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3"/>
      <c r="AF482" s="10" t="str">
        <f aca="true">IF(A482="","",IF(AE482="","Sin probar",IF(TODAY()-AE482&gt;90,"Vencido (&gt;90 días)","OK")))</f>
        <v/>
      </c>
      <c r="AG482" s="13"/>
      <c r="AH482" s="13"/>
      <c r="AI482" s="10" t="str">
        <f aca="true">IF(A482="","",IF(AH482="","Sin dato",IF(AH482&lt;TODAY(),"SIN SOPORTE",IF(AH482-TODAY()&lt;180,"Por vencer","Vigente"))))</f>
        <v/>
      </c>
      <c r="AJ482" s="14"/>
    </row>
    <row r="483" customFormat="false" ht="15" hidden="false" customHeight="fals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3"/>
      <c r="AF483" s="10" t="str">
        <f aca="true">IF(A483="","",IF(AE483="","Sin probar",IF(TODAY()-AE483&gt;90,"Vencido (&gt;90 días)","OK")))</f>
        <v/>
      </c>
      <c r="AG483" s="13"/>
      <c r="AH483" s="13"/>
      <c r="AI483" s="10" t="str">
        <f aca="true">IF(A483="","",IF(AH483="","Sin dato",IF(AH483&lt;TODAY(),"SIN SOPORTE",IF(AH483-TODAY()&lt;180,"Por vencer","Vigente"))))</f>
        <v/>
      </c>
      <c r="AJ483" s="14"/>
    </row>
    <row r="484" customFormat="false" ht="15" hidden="false" customHeight="fals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3"/>
      <c r="AF484" s="10" t="str">
        <f aca="true">IF(A484="","",IF(AE484="","Sin probar",IF(TODAY()-AE484&gt;90,"Vencido (&gt;90 días)","OK")))</f>
        <v/>
      </c>
      <c r="AG484" s="13"/>
      <c r="AH484" s="13"/>
      <c r="AI484" s="10" t="str">
        <f aca="true">IF(A484="","",IF(AH484="","Sin dato",IF(AH484&lt;TODAY(),"SIN SOPORTE",IF(AH484-TODAY()&lt;180,"Por vencer","Vigente"))))</f>
        <v/>
      </c>
      <c r="AJ484" s="14"/>
    </row>
    <row r="485" customFormat="false" ht="15" hidden="false" customHeight="fals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3"/>
      <c r="AF485" s="10" t="str">
        <f aca="true">IF(A485="","",IF(AE485="","Sin probar",IF(TODAY()-AE485&gt;90,"Vencido (&gt;90 días)","OK")))</f>
        <v/>
      </c>
      <c r="AG485" s="13"/>
      <c r="AH485" s="13"/>
      <c r="AI485" s="10" t="str">
        <f aca="true">IF(A485="","",IF(AH485="","Sin dato",IF(AH485&lt;TODAY(),"SIN SOPORTE",IF(AH485-TODAY()&lt;180,"Por vencer","Vigente"))))</f>
        <v/>
      </c>
      <c r="AJ485" s="14"/>
    </row>
    <row r="486" customFormat="false" ht="15" hidden="false" customHeight="fals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3"/>
      <c r="AF486" s="10" t="str">
        <f aca="true">IF(A486="","",IF(AE486="","Sin probar",IF(TODAY()-AE486&gt;90,"Vencido (&gt;90 días)","OK")))</f>
        <v/>
      </c>
      <c r="AG486" s="13"/>
      <c r="AH486" s="13"/>
      <c r="AI486" s="10" t="str">
        <f aca="true">IF(A486="","",IF(AH486="","Sin dato",IF(AH486&lt;TODAY(),"SIN SOPORTE",IF(AH486-TODAY()&lt;180,"Por vencer","Vigente"))))</f>
        <v/>
      </c>
      <c r="AJ486" s="14"/>
    </row>
    <row r="487" customFormat="false" ht="15" hidden="false" customHeight="fals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3"/>
      <c r="AF487" s="10" t="str">
        <f aca="true">IF(A487="","",IF(AE487="","Sin probar",IF(TODAY()-AE487&gt;90,"Vencido (&gt;90 días)","OK")))</f>
        <v/>
      </c>
      <c r="AG487" s="13"/>
      <c r="AH487" s="13"/>
      <c r="AI487" s="10" t="str">
        <f aca="true">IF(A487="","",IF(AH487="","Sin dato",IF(AH487&lt;TODAY(),"SIN SOPORTE",IF(AH487-TODAY()&lt;180,"Por vencer","Vigente"))))</f>
        <v/>
      </c>
      <c r="AJ487" s="14"/>
    </row>
    <row r="488" customFormat="false" ht="15" hidden="false" customHeight="fals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3"/>
      <c r="AF488" s="10" t="str">
        <f aca="true">IF(A488="","",IF(AE488="","Sin probar",IF(TODAY()-AE488&gt;90,"Vencido (&gt;90 días)","OK")))</f>
        <v/>
      </c>
      <c r="AG488" s="13"/>
      <c r="AH488" s="13"/>
      <c r="AI488" s="10" t="str">
        <f aca="true">IF(A488="","",IF(AH488="","Sin dato",IF(AH488&lt;TODAY(),"SIN SOPORTE",IF(AH488-TODAY()&lt;180,"Por vencer","Vigente"))))</f>
        <v/>
      </c>
      <c r="AJ488" s="14"/>
    </row>
    <row r="489" customFormat="false" ht="15" hidden="false" customHeight="fals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3"/>
      <c r="AF489" s="10" t="str">
        <f aca="true">IF(A489="","",IF(AE489="","Sin probar",IF(TODAY()-AE489&gt;90,"Vencido (&gt;90 días)","OK")))</f>
        <v/>
      </c>
      <c r="AG489" s="13"/>
      <c r="AH489" s="13"/>
      <c r="AI489" s="10" t="str">
        <f aca="true">IF(A489="","",IF(AH489="","Sin dato",IF(AH489&lt;TODAY(),"SIN SOPORTE",IF(AH489-TODAY()&lt;180,"Por vencer","Vigente"))))</f>
        <v/>
      </c>
      <c r="AJ489" s="14"/>
    </row>
    <row r="490" customFormat="false" ht="15" hidden="false" customHeight="fals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3"/>
      <c r="AF490" s="10" t="str">
        <f aca="true">IF(A490="","",IF(AE490="","Sin probar",IF(TODAY()-AE490&gt;90,"Vencido (&gt;90 días)","OK")))</f>
        <v/>
      </c>
      <c r="AG490" s="13"/>
      <c r="AH490" s="13"/>
      <c r="AI490" s="10" t="str">
        <f aca="true">IF(A490="","",IF(AH490="","Sin dato",IF(AH490&lt;TODAY(),"SIN SOPORTE",IF(AH490-TODAY()&lt;180,"Por vencer","Vigente"))))</f>
        <v/>
      </c>
      <c r="AJ490" s="14"/>
    </row>
    <row r="491" customFormat="false" ht="15" hidden="false" customHeight="fals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3"/>
      <c r="AF491" s="10" t="str">
        <f aca="true">IF(A491="","",IF(AE491="","Sin probar",IF(TODAY()-AE491&gt;90,"Vencido (&gt;90 días)","OK")))</f>
        <v/>
      </c>
      <c r="AG491" s="13"/>
      <c r="AH491" s="13"/>
      <c r="AI491" s="10" t="str">
        <f aca="true">IF(A491="","",IF(AH491="","Sin dato",IF(AH491&lt;TODAY(),"SIN SOPORTE",IF(AH491-TODAY()&lt;180,"Por vencer","Vigente"))))</f>
        <v/>
      </c>
      <c r="AJ491" s="14"/>
    </row>
    <row r="492" customFormat="false" ht="15" hidden="false" customHeight="fals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3"/>
      <c r="AF492" s="10" t="str">
        <f aca="true">IF(A492="","",IF(AE492="","Sin probar",IF(TODAY()-AE492&gt;90,"Vencido (&gt;90 días)","OK")))</f>
        <v/>
      </c>
      <c r="AG492" s="13"/>
      <c r="AH492" s="13"/>
      <c r="AI492" s="10" t="str">
        <f aca="true">IF(A492="","",IF(AH492="","Sin dato",IF(AH492&lt;TODAY(),"SIN SOPORTE",IF(AH492-TODAY()&lt;180,"Por vencer","Vigente"))))</f>
        <v/>
      </c>
      <c r="AJ492" s="14"/>
    </row>
    <row r="493" customFormat="false" ht="15" hidden="false" customHeight="fals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3"/>
      <c r="AF493" s="10" t="str">
        <f aca="true">IF(A493="","",IF(AE493="","Sin probar",IF(TODAY()-AE493&gt;90,"Vencido (&gt;90 días)","OK")))</f>
        <v/>
      </c>
      <c r="AG493" s="13"/>
      <c r="AH493" s="13"/>
      <c r="AI493" s="10" t="str">
        <f aca="true">IF(A493="","",IF(AH493="","Sin dato",IF(AH493&lt;TODAY(),"SIN SOPORTE",IF(AH493-TODAY()&lt;180,"Por vencer","Vigente"))))</f>
        <v/>
      </c>
      <c r="AJ493" s="14"/>
    </row>
    <row r="494" customFormat="false" ht="15" hidden="false" customHeight="fals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3"/>
      <c r="AF494" s="10" t="str">
        <f aca="true">IF(A494="","",IF(AE494="","Sin probar",IF(TODAY()-AE494&gt;90,"Vencido (&gt;90 días)","OK")))</f>
        <v/>
      </c>
      <c r="AG494" s="13"/>
      <c r="AH494" s="13"/>
      <c r="AI494" s="10" t="str">
        <f aca="true">IF(A494="","",IF(AH494="","Sin dato",IF(AH494&lt;TODAY(),"SIN SOPORTE",IF(AH494-TODAY()&lt;180,"Por vencer","Vigente"))))</f>
        <v/>
      </c>
      <c r="AJ494" s="14"/>
    </row>
    <row r="495" customFormat="false" ht="15" hidden="false" customHeight="fals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3"/>
      <c r="AF495" s="10" t="str">
        <f aca="true">IF(A495="","",IF(AE495="","Sin probar",IF(TODAY()-AE495&gt;90,"Vencido (&gt;90 días)","OK")))</f>
        <v/>
      </c>
      <c r="AG495" s="13"/>
      <c r="AH495" s="13"/>
      <c r="AI495" s="10" t="str">
        <f aca="true">IF(A495="","",IF(AH495="","Sin dato",IF(AH495&lt;TODAY(),"SIN SOPORTE",IF(AH495-TODAY()&lt;180,"Por vencer","Vigente"))))</f>
        <v/>
      </c>
      <c r="AJ495" s="14"/>
    </row>
    <row r="496" customFormat="false" ht="15" hidden="false" customHeight="fals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3"/>
      <c r="AF496" s="10" t="str">
        <f aca="true">IF(A496="","",IF(AE496="","Sin probar",IF(TODAY()-AE496&gt;90,"Vencido (&gt;90 días)","OK")))</f>
        <v/>
      </c>
      <c r="AG496" s="13"/>
      <c r="AH496" s="13"/>
      <c r="AI496" s="10" t="str">
        <f aca="true">IF(A496="","",IF(AH496="","Sin dato",IF(AH496&lt;TODAY(),"SIN SOPORTE",IF(AH496-TODAY()&lt;180,"Por vencer","Vigente"))))</f>
        <v/>
      </c>
      <c r="AJ496" s="14"/>
    </row>
    <row r="497" customFormat="false" ht="15" hidden="false" customHeight="fals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3"/>
      <c r="AF497" s="10" t="str">
        <f aca="true">IF(A497="","",IF(AE497="","Sin probar",IF(TODAY()-AE497&gt;90,"Vencido (&gt;90 días)","OK")))</f>
        <v/>
      </c>
      <c r="AG497" s="13"/>
      <c r="AH497" s="13"/>
      <c r="AI497" s="10" t="str">
        <f aca="true">IF(A497="","",IF(AH497="","Sin dato",IF(AH497&lt;TODAY(),"SIN SOPORTE",IF(AH497-TODAY()&lt;180,"Por vencer","Vigente"))))</f>
        <v/>
      </c>
      <c r="AJ497" s="14"/>
    </row>
    <row r="498" customFormat="false" ht="15" hidden="false" customHeight="fals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3"/>
      <c r="AF498" s="10" t="str">
        <f aca="true">IF(A498="","",IF(AE498="","Sin probar",IF(TODAY()-AE498&gt;90,"Vencido (&gt;90 días)","OK")))</f>
        <v/>
      </c>
      <c r="AG498" s="13"/>
      <c r="AH498" s="13"/>
      <c r="AI498" s="10" t="str">
        <f aca="true">IF(A498="","",IF(AH498="","Sin dato",IF(AH498&lt;TODAY(),"SIN SOPORTE",IF(AH498-TODAY()&lt;180,"Por vencer","Vigente"))))</f>
        <v/>
      </c>
      <c r="AJ498" s="14"/>
    </row>
    <row r="499" customFormat="false" ht="15" hidden="false" customHeight="fals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3"/>
      <c r="AF499" s="10" t="str">
        <f aca="true">IF(A499="","",IF(AE499="","Sin probar",IF(TODAY()-AE499&gt;90,"Vencido (&gt;90 días)","OK")))</f>
        <v/>
      </c>
      <c r="AG499" s="13"/>
      <c r="AH499" s="13"/>
      <c r="AI499" s="10" t="str">
        <f aca="true">IF(A499="","",IF(AH499="","Sin dato",IF(AH499&lt;TODAY(),"SIN SOPORTE",IF(AH499-TODAY()&lt;180,"Por vencer","Vigente"))))</f>
        <v/>
      </c>
      <c r="AJ499" s="14"/>
    </row>
    <row r="500" customFormat="false" ht="15" hidden="false" customHeight="fals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3"/>
      <c r="AF500" s="10" t="str">
        <f aca="true">IF(A500="","",IF(AE500="","Sin probar",IF(TODAY()-AE500&gt;90,"Vencido (&gt;90 días)","OK")))</f>
        <v/>
      </c>
      <c r="AG500" s="13"/>
      <c r="AH500" s="13"/>
      <c r="AI500" s="10" t="str">
        <f aca="true">IF(A500="","",IF(AH500="","Sin dato",IF(AH500&lt;TODAY(),"SIN SOPORTE",IF(AH500-TODAY()&lt;180,"Por vencer","Vigente"))))</f>
        <v/>
      </c>
      <c r="AJ500" s="14"/>
    </row>
    <row r="501" customFormat="false" ht="15" hidden="false" customHeight="fals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3"/>
      <c r="AF501" s="10" t="str">
        <f aca="true">IF(A501="","",IF(AE501="","Sin probar",IF(TODAY()-AE501&gt;90,"Vencido (&gt;90 días)","OK")))</f>
        <v/>
      </c>
      <c r="AG501" s="13"/>
      <c r="AH501" s="13"/>
      <c r="AI501" s="10" t="str">
        <f aca="true">IF(A501="","",IF(AH501="","Sin dato",IF(AH501&lt;TODAY(),"SIN SOPORTE",IF(AH501-TODAY()&lt;180,"Por vencer","Vigente"))))</f>
        <v/>
      </c>
      <c r="AJ501" s="14"/>
    </row>
    <row r="502" customFormat="false" ht="15" hidden="false" customHeight="false" outlineLevel="0" collapsed="false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3"/>
      <c r="AF502" s="10" t="str">
        <f aca="true">IF(A502="","",IF(AE502="","Sin probar",IF(TODAY()-AE502&gt;90,"Vencido (&gt;90 días)","OK")))</f>
        <v/>
      </c>
      <c r="AG502" s="13"/>
      <c r="AH502" s="13"/>
      <c r="AI502" s="10" t="str">
        <f aca="true">IF(A502="","",IF(AH502="","Sin dato",IF(AH502&lt;TODAY(),"SIN SOPORTE",IF(AH502-TODAY()&lt;180,"Por vencer","Vigente"))))</f>
        <v/>
      </c>
      <c r="AJ502" s="14"/>
    </row>
    <row r="503" customFormat="false" ht="15" hidden="false" customHeight="false" outlineLevel="0" collapsed="false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3"/>
      <c r="AF503" s="10" t="str">
        <f aca="true">IF(A503="","",IF(AE503="","Sin probar",IF(TODAY()-AE503&gt;90,"Vencido (&gt;90 días)","OK")))</f>
        <v/>
      </c>
      <c r="AG503" s="13"/>
      <c r="AH503" s="13"/>
      <c r="AI503" s="10" t="str">
        <f aca="true">IF(A503="","",IF(AH503="","Sin dato",IF(AH503&lt;TODAY(),"SIN SOPORTE",IF(AH503-TODAY()&lt;180,"Por vencer","Vigente"))))</f>
        <v/>
      </c>
      <c r="AJ503" s="14"/>
    </row>
    <row r="504" customFormat="false" ht="15" hidden="false" customHeight="false" outlineLevel="0" collapsed="false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3"/>
      <c r="AF504" s="10" t="str">
        <f aca="true">IF(A504="","",IF(AE504="","Sin probar",IF(TODAY()-AE504&gt;90,"Vencido (&gt;90 días)","OK")))</f>
        <v/>
      </c>
      <c r="AG504" s="13"/>
      <c r="AH504" s="13"/>
      <c r="AI504" s="10" t="str">
        <f aca="true">IF(A504="","",IF(AH504="","Sin dato",IF(AH504&lt;TODAY(),"SIN SOPORTE",IF(AH504-TODAY()&lt;180,"Por vencer","Vigente"))))</f>
        <v/>
      </c>
      <c r="AJ504" s="14"/>
    </row>
    <row r="505" customFormat="false" ht="15" hidden="false" customHeight="false" outlineLevel="0" collapsed="false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3"/>
      <c r="AF505" s="10" t="str">
        <f aca="true">IF(A505="","",IF(AE505="","Sin probar",IF(TODAY()-AE505&gt;90,"Vencido (&gt;90 días)","OK")))</f>
        <v/>
      </c>
      <c r="AG505" s="13"/>
      <c r="AH505" s="13"/>
      <c r="AI505" s="10" t="str">
        <f aca="true">IF(A505="","",IF(AH505="","Sin dato",IF(AH505&lt;TODAY(),"SIN SOPORTE",IF(AH505-TODAY()&lt;180,"Por vencer","Vigente"))))</f>
        <v/>
      </c>
      <c r="AJ505" s="14"/>
    </row>
  </sheetData>
  <autoFilter ref="A5:AJ505"/>
  <mergeCells count="7">
    <mergeCell ref="A4:H4"/>
    <mergeCell ref="I4:N4"/>
    <mergeCell ref="O4:Q4"/>
    <mergeCell ref="R4:S4"/>
    <mergeCell ref="T4:Y4"/>
    <mergeCell ref="Z4:AF4"/>
    <mergeCell ref="AG4:AI4"/>
  </mergeCells>
  <conditionalFormatting sqref="AF6:AF505">
    <cfRule type="cellIs" priority="2" operator="equal" aboveAverage="0" equalAverage="0" bottom="0" percent="0" rank="0" text="" dxfId="8">
      <formula>"OK"</formula>
    </cfRule>
    <cfRule type="cellIs" priority="3" operator="equal" aboveAverage="0" equalAverage="0" bottom="0" percent="0" rank="0" text="" dxfId="9">
      <formula>"Vencido (&gt;90 días)"</formula>
    </cfRule>
    <cfRule type="cellIs" priority="4" operator="equal" aboveAverage="0" equalAverage="0" bottom="0" percent="0" rank="0" text="" dxfId="10">
      <formula>"Sin probar"</formula>
    </cfRule>
  </conditionalFormatting>
  <conditionalFormatting sqref="AI6:AI505">
    <cfRule type="cellIs" priority="5" operator="equal" aboveAverage="0" equalAverage="0" bottom="0" percent="0" rank="0" text="" dxfId="8">
      <formula>"Vigente"</formula>
    </cfRule>
    <cfRule type="cellIs" priority="6" operator="equal" aboveAverage="0" equalAverage="0" bottom="0" percent="0" rank="0" text="" dxfId="9">
      <formula>"Por vencer"</formula>
    </cfRule>
    <cfRule type="cellIs" priority="7" operator="equal" aboveAverage="0" equalAverage="0" bottom="0" percent="0" rank="0" text="" dxfId="10">
      <formula>"SIN SOPORTE"</formula>
    </cfRule>
  </conditionalFormatting>
  <conditionalFormatting sqref="T6:T505">
    <cfRule type="cellIs" priority="8" operator="equal" aboveAverage="0" equalAverage="0" bottom="0" percent="0" rank="0" text="" dxfId="8">
      <formula>"Sí"</formula>
    </cfRule>
    <cfRule type="cellIs" priority="9" operator="equal" aboveAverage="0" equalAverage="0" bottom="0" percent="0" rank="0" text="" dxfId="9">
      <formula>"Parcial"</formula>
    </cfRule>
    <cfRule type="cellIs" priority="10" operator="equal" aboveAverage="0" equalAverage="0" bottom="0" percent="0" rank="0" text="" dxfId="10">
      <formula>"No"</formula>
    </cfRule>
  </conditionalFormatting>
  <conditionalFormatting sqref="U6:U505">
    <cfRule type="cellIs" priority="11" operator="equal" aboveAverage="0" equalAverage="0" bottom="0" percent="0" rank="0" text="" dxfId="8">
      <formula>"Sí"</formula>
    </cfRule>
    <cfRule type="cellIs" priority="12" operator="equal" aboveAverage="0" equalAverage="0" bottom="0" percent="0" rank="0" text="" dxfId="10">
      <formula>"No"</formula>
    </cfRule>
  </conditionalFormatting>
  <conditionalFormatting sqref="V6:V505">
    <cfRule type="cellIs" priority="13" operator="equal" aboveAverage="0" equalAverage="0" bottom="0" percent="0" rank="0" text="" dxfId="8">
      <formula>"Sí"</formula>
    </cfRule>
    <cfRule type="cellIs" priority="14" operator="equal" aboveAverage="0" equalAverage="0" bottom="0" percent="0" rank="0" text="" dxfId="10">
      <formula>"No"</formula>
    </cfRule>
  </conditionalFormatting>
  <conditionalFormatting sqref="W6:W505">
    <cfRule type="cellIs" priority="15" operator="equal" aboveAverage="0" equalAverage="0" bottom="0" percent="0" rank="0" text="" dxfId="8">
      <formula>"Sí"</formula>
    </cfRule>
    <cfRule type="cellIs" priority="16" operator="equal" aboveAverage="0" equalAverage="0" bottom="0" percent="0" rank="0" text="" dxfId="10">
      <formula>"No"</formula>
    </cfRule>
  </conditionalFormatting>
  <conditionalFormatting sqref="X6:X505">
    <cfRule type="cellIs" priority="17" operator="equal" aboveAverage="0" equalAverage="0" bottom="0" percent="0" rank="0" text="" dxfId="8">
      <formula>"Sí"</formula>
    </cfRule>
    <cfRule type="cellIs" priority="18" operator="equal" aboveAverage="0" equalAverage="0" bottom="0" percent="0" rank="0" text="" dxfId="10">
      <formula>"No"</formula>
    </cfRule>
  </conditionalFormatting>
  <conditionalFormatting sqref="Y6:Y505">
    <cfRule type="cellIs" priority="19" operator="equal" aboveAverage="0" equalAverage="0" bottom="0" percent="0" rank="0" text="" dxfId="8">
      <formula>"Sí"</formula>
    </cfRule>
    <cfRule type="cellIs" priority="20" operator="equal" aboveAverage="0" equalAverage="0" bottom="0" percent="0" rank="0" text="" dxfId="10">
      <formula>"No"</formula>
    </cfRule>
  </conditionalFormatting>
  <conditionalFormatting sqref="G6:G505">
    <cfRule type="cellIs" priority="21" operator="equal" aboveAverage="0" equalAverage="0" bottom="0" percent="0" rank="0" text="" dxfId="10">
      <formula>"Crítica"</formula>
    </cfRule>
  </conditionalFormatting>
  <dataValidations count="16">
    <dataValidation allowBlank="true" error="Elige un valor de la lista (editable en la hoja Catalogos)." errorStyle="stop" errorTitle="Valor no válido" operator="between" showDropDown="false" showErrorMessage="true" showInputMessage="false" sqref="C6:C505" type="list">
      <formula1>Catalogos!$A$2:$A$5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F6:F505" type="list">
      <formula1>Catalogos!$B$2:$B$6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G6:G505" type="list">
      <formula1>Catalogos!$C$2:$C$5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H6:H505" type="list">
      <formula1>Catalogos!$J$2:$J$5</formula1>
      <formula2>0</formula2>
    </dataValidation>
    <dataValidation allowBlank="true" error="Ingresa un número." errorStyle="stop" errorTitle="Número" operator="greaterThanOrEqual" showDropDown="false" showErrorMessage="true" showInputMessage="false" sqref="K6:K505 N6:N505 AC6:AD505" type="decimal">
      <formula1>0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L6:L505" type="list">
      <formula1>Catalogos!$D$2:$D$5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R6:R505" type="list">
      <formula1>Catalogos!$G$2:$G$7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S6:S505" type="list">
      <formula1>Catalogos!$H$2:$H$8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T6:T505" type="list">
      <formula1>Catalogos!$F$2:$F$4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U6:U505" type="list">
      <formula1>Catalogos!$E$2:$E$3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V6:V505" type="list">
      <formula1>Catalogos!$E$2:$E$3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W6:W505" type="list">
      <formula1>Catalogos!$E$2:$E$3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X6:X505" type="list">
      <formula1>Catalogos!$E$2:$E$3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Y6:Y505" type="list">
      <formula1>Catalogos!$E$2:$E$3</formula1>
      <formula2>0</formula2>
    </dataValidation>
    <dataValidation allowBlank="true" error="Elige un valor de la lista (editable en la hoja Catalogos)." errorStyle="stop" errorTitle="Valor no válido" operator="between" showDropDown="false" showErrorMessage="true" showInputMessage="false" sqref="Z6:Z505" type="list">
      <formula1>Catalogos!$I$2:$I$8</formula1>
      <formula2>0</formula2>
    </dataValidation>
    <dataValidation allowBlank="true" error="Usa formato de fecha dd/mm/aaaa." errorStyle="stop" errorTitle="Fecha" operator="greaterThan" showDropDown="false" showErrorMessage="true" showInputMessage="false" sqref="AE6:AE505 AG6:AH50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5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4" t="s">
        <v>119</v>
      </c>
    </row>
    <row r="4" customFormat="false" ht="15" hidden="false" customHeight="false" outlineLevel="0" collapsed="false">
      <c r="A4" s="15" t="s">
        <v>120</v>
      </c>
    </row>
    <row r="5" customFormat="false" ht="15" hidden="false" customHeight="false" outlineLevel="0" collapsed="false">
      <c r="A5" s="16" t="s">
        <v>30</v>
      </c>
      <c r="B5" s="16" t="s">
        <v>68</v>
      </c>
      <c r="C5" s="16" t="s">
        <v>121</v>
      </c>
      <c r="D5" s="16" t="s">
        <v>122</v>
      </c>
      <c r="E5" s="16" t="s">
        <v>123</v>
      </c>
      <c r="F5" s="16" t="s">
        <v>124</v>
      </c>
      <c r="G5" s="16" t="s">
        <v>125</v>
      </c>
    </row>
    <row r="6" customFormat="false" ht="15" hidden="false" customHeight="false" outlineLevel="0" collapsed="false">
      <c r="A6" s="17" t="s">
        <v>65</v>
      </c>
      <c r="B6" s="18" t="n">
        <f aca="false">COUNTIFS(Inventario!$C$6:$C$505,$A6,Inventario!$F$6:$F$505,B$5)</f>
        <v>1</v>
      </c>
      <c r="C6" s="18" t="n">
        <f aca="false">COUNTIFS(Inventario!$C$6:$C$505,$A6,Inventario!$F$6:$F$505,C$5)</f>
        <v>0</v>
      </c>
      <c r="D6" s="18" t="n">
        <f aca="false">COUNTIFS(Inventario!$C$6:$C$505,$A6,Inventario!$F$6:$F$505,D$5)</f>
        <v>0</v>
      </c>
      <c r="E6" s="18" t="n">
        <f aca="false">COUNTIFS(Inventario!$C$6:$C$505,$A6,Inventario!$F$6:$F$505,E$5)</f>
        <v>0</v>
      </c>
      <c r="F6" s="18" t="n">
        <f aca="false">COUNTIFS(Inventario!$C$6:$C$505,$A6,Inventario!$F$6:$F$505,F$5)</f>
        <v>0</v>
      </c>
      <c r="G6" s="18" t="n">
        <f aca="false">SUM(B6:F6)</f>
        <v>1</v>
      </c>
    </row>
    <row r="7" customFormat="false" ht="15" hidden="false" customHeight="false" outlineLevel="0" collapsed="false">
      <c r="A7" s="17" t="s">
        <v>89</v>
      </c>
      <c r="B7" s="18" t="n">
        <f aca="false">COUNTIFS(Inventario!$C$6:$C$505,$A7,Inventario!$F$6:$F$505,B$5)</f>
        <v>1</v>
      </c>
      <c r="C7" s="18" t="n">
        <f aca="false">COUNTIFS(Inventario!$C$6:$C$505,$A7,Inventario!$F$6:$F$505,C$5)</f>
        <v>0</v>
      </c>
      <c r="D7" s="18" t="n">
        <f aca="false">COUNTIFS(Inventario!$C$6:$C$505,$A7,Inventario!$F$6:$F$505,D$5)</f>
        <v>0</v>
      </c>
      <c r="E7" s="18" t="n">
        <f aca="false">COUNTIFS(Inventario!$C$6:$C$505,$A7,Inventario!$F$6:$F$505,E$5)</f>
        <v>0</v>
      </c>
      <c r="F7" s="18" t="n">
        <f aca="false">COUNTIFS(Inventario!$C$6:$C$505,$A7,Inventario!$F$6:$F$505,F$5)</f>
        <v>0</v>
      </c>
      <c r="G7" s="18" t="n">
        <f aca="false">SUM(B7:F7)</f>
        <v>1</v>
      </c>
    </row>
    <row r="8" customFormat="false" ht="15" hidden="false" customHeight="false" outlineLevel="0" collapsed="false">
      <c r="A8" s="17" t="s">
        <v>126</v>
      </c>
      <c r="B8" s="18" t="n">
        <f aca="false">COUNTIFS(Inventario!$C$6:$C$505,$A8,Inventario!$F$6:$F$505,B$5)</f>
        <v>0</v>
      </c>
      <c r="C8" s="18" t="n">
        <f aca="false">COUNTIFS(Inventario!$C$6:$C$505,$A8,Inventario!$F$6:$F$505,C$5)</f>
        <v>0</v>
      </c>
      <c r="D8" s="18" t="n">
        <f aca="false">COUNTIFS(Inventario!$C$6:$C$505,$A8,Inventario!$F$6:$F$505,D$5)</f>
        <v>0</v>
      </c>
      <c r="E8" s="18" t="n">
        <f aca="false">COUNTIFS(Inventario!$C$6:$C$505,$A8,Inventario!$F$6:$F$505,E$5)</f>
        <v>0</v>
      </c>
      <c r="F8" s="18" t="n">
        <f aca="false">COUNTIFS(Inventario!$C$6:$C$505,$A8,Inventario!$F$6:$F$505,F$5)</f>
        <v>0</v>
      </c>
      <c r="G8" s="18" t="n">
        <f aca="false">SUM(B8:F8)</f>
        <v>0</v>
      </c>
    </row>
    <row r="9" customFormat="false" ht="15" hidden="false" customHeight="false" outlineLevel="0" collapsed="false">
      <c r="A9" s="17" t="s">
        <v>104</v>
      </c>
      <c r="B9" s="18" t="n">
        <f aca="false">COUNTIFS(Inventario!$C$6:$C$505,$A9,Inventario!$F$6:$F$505,B$5)</f>
        <v>1</v>
      </c>
      <c r="C9" s="18" t="n">
        <f aca="false">COUNTIFS(Inventario!$C$6:$C$505,$A9,Inventario!$F$6:$F$505,C$5)</f>
        <v>0</v>
      </c>
      <c r="D9" s="18" t="n">
        <f aca="false">COUNTIFS(Inventario!$C$6:$C$505,$A9,Inventario!$F$6:$F$505,D$5)</f>
        <v>0</v>
      </c>
      <c r="E9" s="18" t="n">
        <f aca="false">COUNTIFS(Inventario!$C$6:$C$505,$A9,Inventario!$F$6:$F$505,E$5)</f>
        <v>0</v>
      </c>
      <c r="F9" s="18" t="n">
        <f aca="false">COUNTIFS(Inventario!$C$6:$C$505,$A9,Inventario!$F$6:$F$505,F$5)</f>
        <v>0</v>
      </c>
      <c r="G9" s="18" t="n">
        <f aca="false">SUM(B9:F9)</f>
        <v>1</v>
      </c>
    </row>
    <row r="10" customFormat="false" ht="15" hidden="false" customHeight="false" outlineLevel="0" collapsed="false">
      <c r="A10" s="19" t="s">
        <v>125</v>
      </c>
      <c r="B10" s="20" t="n">
        <f aca="false">SUM(B6:B9)</f>
        <v>3</v>
      </c>
      <c r="C10" s="20" t="n">
        <f aca="false">SUM(C6:C9)</f>
        <v>0</v>
      </c>
      <c r="D10" s="20" t="n">
        <f aca="false">SUM(D6:D9)</f>
        <v>0</v>
      </c>
      <c r="E10" s="20" t="n">
        <f aca="false">SUM(E6:E9)</f>
        <v>0</v>
      </c>
      <c r="F10" s="20" t="n">
        <f aca="false">SUM(F6:F9)</f>
        <v>0</v>
      </c>
      <c r="G10" s="20" t="n">
        <f aca="false">SUM(G6:G9)</f>
        <v>3</v>
      </c>
    </row>
    <row r="12" customFormat="false" ht="15" hidden="false" customHeight="false" outlineLevel="0" collapsed="false">
      <c r="A12" s="15" t="s">
        <v>127</v>
      </c>
    </row>
    <row r="13" customFormat="false" ht="15" hidden="false" customHeight="false" outlineLevel="0" collapsed="false">
      <c r="A13" s="21" t="s">
        <v>128</v>
      </c>
      <c r="B13" s="21" t="s">
        <v>129</v>
      </c>
      <c r="C13" s="21" t="s">
        <v>130</v>
      </c>
      <c r="D13" s="21" t="s">
        <v>131</v>
      </c>
    </row>
    <row r="14" customFormat="false" ht="15" hidden="false" customHeight="false" outlineLevel="0" collapsed="false">
      <c r="A14" s="17" t="s">
        <v>132</v>
      </c>
      <c r="B14" s="18" t="n">
        <f aca="false">COUNTIFS(Inventario!$F$6:$F$505,"Producción",Inventario!$T$6:$T$505,"Sí")</f>
        <v>1</v>
      </c>
      <c r="C14" s="18" t="n">
        <f aca="false">COUNTIFS(Inventario!$F$6:$F$505,"Producción")</f>
        <v>3</v>
      </c>
      <c r="D14" s="22" t="n">
        <f aca="false">IF(C14=0,"",B14/C14)</f>
        <v>0.333333333333333</v>
      </c>
    </row>
    <row r="15" customFormat="false" ht="15" hidden="false" customHeight="false" outlineLevel="0" collapsed="false">
      <c r="A15" s="17" t="s">
        <v>48</v>
      </c>
      <c r="B15" s="18" t="n">
        <f aca="false">COUNTIFS(Inventario!$F$6:$F$505,"Producción",Inventario!$U$6:$U$505,"Sí")</f>
        <v>1</v>
      </c>
      <c r="C15" s="18" t="n">
        <f aca="false">COUNTIFS(Inventario!$F$6:$F$505,"Producción")</f>
        <v>3</v>
      </c>
      <c r="D15" s="22" t="n">
        <f aca="false">IF(C15=0,"",B15/C15)</f>
        <v>0.333333333333333</v>
      </c>
    </row>
    <row r="16" customFormat="false" ht="15" hidden="false" customHeight="false" outlineLevel="0" collapsed="false">
      <c r="A16" s="17" t="s">
        <v>49</v>
      </c>
      <c r="B16" s="18" t="n">
        <f aca="false">COUNTIFS(Inventario!$F$6:$F$505,"Producción",Inventario!$V$6:$V$505,"Sí")</f>
        <v>1</v>
      </c>
      <c r="C16" s="18" t="n">
        <f aca="false">COUNTIFS(Inventario!$F$6:$F$505,"Producción")</f>
        <v>3</v>
      </c>
      <c r="D16" s="22" t="n">
        <f aca="false">IF(C16=0,"",B16/C16)</f>
        <v>0.333333333333333</v>
      </c>
    </row>
    <row r="17" customFormat="false" ht="15" hidden="false" customHeight="false" outlineLevel="0" collapsed="false">
      <c r="A17" s="17" t="s">
        <v>50</v>
      </c>
      <c r="B17" s="18" t="n">
        <f aca="false">COUNTIFS(Inventario!$F$6:$F$505,"Producción",Inventario!$W$6:$W$505,"Sí")</f>
        <v>2</v>
      </c>
      <c r="C17" s="18" t="n">
        <f aca="false">COUNTIFS(Inventario!$F$6:$F$505,"Producción")</f>
        <v>3</v>
      </c>
      <c r="D17" s="22" t="n">
        <f aca="false">IF(C17=0,"",B17/C17)</f>
        <v>0.666666666666667</v>
      </c>
    </row>
    <row r="18" customFormat="false" ht="15" hidden="false" customHeight="false" outlineLevel="0" collapsed="false">
      <c r="A18" s="17" t="s">
        <v>51</v>
      </c>
      <c r="B18" s="18" t="n">
        <f aca="false">COUNTIFS(Inventario!$F$6:$F$505,"Producción",Inventario!$X$6:$X$505,"Sí")</f>
        <v>1</v>
      </c>
      <c r="C18" s="18" t="n">
        <f aca="false">COUNTIFS(Inventario!$F$6:$F$505,"Producción")</f>
        <v>3</v>
      </c>
      <c r="D18" s="22" t="n">
        <f aca="false">IF(C18=0,"",B18/C18)</f>
        <v>0.333333333333333</v>
      </c>
    </row>
    <row r="19" customFormat="false" ht="15" hidden="false" customHeight="false" outlineLevel="0" collapsed="false">
      <c r="A19" s="17" t="s">
        <v>52</v>
      </c>
      <c r="B19" s="18" t="n">
        <f aca="false">COUNTIFS(Inventario!$F$6:$F$505,"Producción",Inventario!$Y$6:$Y$505,"Sí")</f>
        <v>1</v>
      </c>
      <c r="C19" s="18" t="n">
        <f aca="false">COUNTIFS(Inventario!$F$6:$F$505,"Producción")</f>
        <v>3</v>
      </c>
      <c r="D19" s="22" t="n">
        <f aca="false">IF(C19=0,"",B19/C19)</f>
        <v>0.333333333333333</v>
      </c>
    </row>
    <row r="20" customFormat="false" ht="15" hidden="false" customHeight="false" outlineLevel="0" collapsed="false">
      <c r="A20" s="17" t="s">
        <v>133</v>
      </c>
      <c r="B20" s="18" t="n">
        <f aca="false">COUNTIFS(Inventario!$F$6:$F$505,"Producción",Inventario!$AF$6:$AF$505,"OK")</f>
        <v>1</v>
      </c>
      <c r="C20" s="18" t="n">
        <f aca="false">COUNTIFS(Inventario!$F$6:$F$505,"Producción")</f>
        <v>3</v>
      </c>
      <c r="D20" s="22" t="n">
        <f aca="false">IF(C20=0,"",B20/C20)</f>
        <v>0.333333333333333</v>
      </c>
    </row>
    <row r="21" customFormat="false" ht="15" hidden="false" customHeight="false" outlineLevel="0" collapsed="false">
      <c r="A21" s="17" t="s">
        <v>134</v>
      </c>
      <c r="B21" s="18" t="n">
        <f aca="false">COUNTIFS(Inventario!$F$6:$F$505,"Producción",Inventario!$AI$6:$AI$505,"Vigente")+COUNTIFS(Inventario!$F$6:$F$505,"Producción",Inventario!$AI$6:$AI$505,"Por vencer")</f>
        <v>2</v>
      </c>
      <c r="C21" s="18" t="n">
        <f aca="false">COUNTIFS(Inventario!$F$6:$F$505,"Producción")</f>
        <v>3</v>
      </c>
      <c r="D21" s="22" t="n">
        <f aca="false">IF(C21=0,"",B21/C21)</f>
        <v>0.666666666666667</v>
      </c>
    </row>
    <row r="23" customFormat="false" ht="15" hidden="false" customHeight="false" outlineLevel="0" collapsed="false">
      <c r="A23" s="15" t="s">
        <v>135</v>
      </c>
    </row>
    <row r="24" customFormat="false" ht="15" hidden="false" customHeight="false" outlineLevel="0" collapsed="false">
      <c r="A24" s="17" t="s">
        <v>136</v>
      </c>
      <c r="B24" s="20" t="n">
        <f aca="false">COUNTIFS(Inventario!$AI$6:$AI$505,"SIN SOPORTE")</f>
        <v>1</v>
      </c>
    </row>
    <row r="25" customFormat="false" ht="15" hidden="false" customHeight="false" outlineLevel="0" collapsed="false">
      <c r="A25" s="17" t="s">
        <v>137</v>
      </c>
      <c r="B25" s="20" t="n">
        <f aca="false">COUNTIFS(Inventario!$AF$6:$AF$505,"Sin probar")</f>
        <v>1</v>
      </c>
    </row>
    <row r="26" customFormat="false" ht="15" hidden="false" customHeight="false" outlineLevel="0" collapsed="false">
      <c r="A26" s="17" t="s">
        <v>138</v>
      </c>
      <c r="B26" s="20" t="n">
        <f aca="false">COUNTIFS(Inventario!$AF$6:$AF$505,"Vencido (&gt;90 días)")</f>
        <v>1</v>
      </c>
    </row>
    <row r="27" customFormat="false" ht="15" hidden="false" customHeight="false" outlineLevel="0" collapsed="false">
      <c r="A27" s="17" t="s">
        <v>139</v>
      </c>
      <c r="B27" s="20" t="n">
        <f aca="false">COUNTIFS(Inventario!$G$6:$G$505,"Crítica",Inventario!$F$6:$F$505,"Producción",Inventario!$T$6:$T$505,"No")</f>
        <v>0</v>
      </c>
    </row>
    <row r="28" customFormat="false" ht="15" hidden="false" customHeight="false" outlineLevel="0" collapsed="false">
      <c r="A28" s="17" t="s">
        <v>140</v>
      </c>
      <c r="B28" s="20" t="n">
        <f aca="false">COUNTIFS(Inventario!$V$6:$V$505,"No",Inventario!$R$6:$R$505,"&lt;&gt;Ninguno",Inventario!$R$6:$R$505,"&lt;&gt;")</f>
        <v>1</v>
      </c>
    </row>
  </sheetData>
  <conditionalFormatting sqref="D14:D21">
    <cfRule type="cellIs" priority="2" operator="greaterThanOrEqual" aboveAverage="0" equalAverage="0" bottom="0" percent="0" rank="0" text="" dxfId="8">
      <formula>0.9</formula>
    </cfRule>
    <cfRule type="cellIs" priority="3" operator="between" aboveAverage="0" equalAverage="0" bottom="0" percent="0" rank="0" text="" dxfId="9">
      <formula>0.5</formula>
      <formula>0.8999</formula>
    </cfRule>
    <cfRule type="cellIs" priority="4" operator="lessThan" aboveAverage="0" equalAverage="0" bottom="0" percent="0" rank="0" text="" dxfId="10">
      <formula>0.5</formula>
    </cfRule>
  </conditionalFormatting>
  <conditionalFormatting sqref="B24:B28">
    <cfRule type="cellIs" priority="5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8"/>
  </cols>
  <sheetData>
    <row r="1" customFormat="false" ht="15" hidden="false" customHeight="false" outlineLevel="0" collapsed="false">
      <c r="A1" s="23" t="s">
        <v>30</v>
      </c>
      <c r="B1" s="23" t="s">
        <v>33</v>
      </c>
      <c r="C1" s="23" t="s">
        <v>34</v>
      </c>
      <c r="D1" s="23" t="s">
        <v>39</v>
      </c>
      <c r="E1" s="23" t="s">
        <v>141</v>
      </c>
      <c r="F1" s="23" t="s">
        <v>142</v>
      </c>
      <c r="G1" s="23" t="s">
        <v>45</v>
      </c>
      <c r="H1" s="23" t="s">
        <v>143</v>
      </c>
      <c r="I1" s="23" t="s">
        <v>53</v>
      </c>
      <c r="J1" s="23" t="s">
        <v>35</v>
      </c>
    </row>
    <row r="2" customFormat="false" ht="15" hidden="false" customHeight="false" outlineLevel="0" collapsed="false">
      <c r="A2" s="24" t="s">
        <v>65</v>
      </c>
      <c r="B2" s="24" t="s">
        <v>68</v>
      </c>
      <c r="C2" s="24" t="s">
        <v>69</v>
      </c>
      <c r="D2" s="24" t="s">
        <v>73</v>
      </c>
      <c r="E2" s="24" t="s">
        <v>82</v>
      </c>
      <c r="F2" s="24" t="s">
        <v>82</v>
      </c>
      <c r="G2" s="24" t="s">
        <v>78</v>
      </c>
      <c r="H2" s="24" t="s">
        <v>144</v>
      </c>
      <c r="I2" s="24" t="s">
        <v>114</v>
      </c>
      <c r="J2" s="24" t="s">
        <v>70</v>
      </c>
    </row>
    <row r="3" customFormat="false" ht="15" hidden="false" customHeight="false" outlineLevel="0" collapsed="false">
      <c r="A3" s="24" t="s">
        <v>89</v>
      </c>
      <c r="B3" s="24" t="s">
        <v>121</v>
      </c>
      <c r="C3" s="24" t="s">
        <v>145</v>
      </c>
      <c r="D3" s="24" t="s">
        <v>109</v>
      </c>
      <c r="E3" s="24" t="s">
        <v>81</v>
      </c>
      <c r="F3" s="24" t="s">
        <v>80</v>
      </c>
      <c r="G3" s="24" t="s">
        <v>97</v>
      </c>
      <c r="H3" s="24" t="s">
        <v>146</v>
      </c>
      <c r="I3" s="24" t="s">
        <v>83</v>
      </c>
      <c r="J3" s="24" t="s">
        <v>147</v>
      </c>
    </row>
    <row r="4" customFormat="false" ht="15" hidden="false" customHeight="false" outlineLevel="0" collapsed="false">
      <c r="A4" s="24" t="s">
        <v>126</v>
      </c>
      <c r="B4" s="24" t="s">
        <v>122</v>
      </c>
      <c r="C4" s="24" t="s">
        <v>106</v>
      </c>
      <c r="D4" s="24" t="s">
        <v>148</v>
      </c>
      <c r="F4" s="24" t="s">
        <v>81</v>
      </c>
      <c r="G4" s="24" t="s">
        <v>149</v>
      </c>
      <c r="H4" s="24" t="s">
        <v>98</v>
      </c>
      <c r="I4" s="24" t="s">
        <v>150</v>
      </c>
      <c r="J4" s="24" t="s">
        <v>151</v>
      </c>
    </row>
    <row r="5" customFormat="false" ht="15" hidden="false" customHeight="false" outlineLevel="0" collapsed="false">
      <c r="A5" s="24" t="s">
        <v>104</v>
      </c>
      <c r="B5" s="24" t="s">
        <v>123</v>
      </c>
      <c r="C5" s="24" t="s">
        <v>152</v>
      </c>
      <c r="D5" s="24" t="s">
        <v>153</v>
      </c>
      <c r="G5" s="24" t="s">
        <v>154</v>
      </c>
      <c r="H5" s="24" t="s">
        <v>79</v>
      </c>
      <c r="I5" s="24" t="s">
        <v>99</v>
      </c>
      <c r="J5" s="24" t="s">
        <v>155</v>
      </c>
    </row>
    <row r="6" customFormat="false" ht="15" hidden="false" customHeight="false" outlineLevel="0" collapsed="false">
      <c r="B6" s="24" t="s">
        <v>124</v>
      </c>
      <c r="G6" s="24" t="s">
        <v>156</v>
      </c>
      <c r="H6" s="24" t="s">
        <v>157</v>
      </c>
      <c r="I6" s="24" t="s">
        <v>158</v>
      </c>
    </row>
    <row r="7" customFormat="false" ht="15" hidden="false" customHeight="false" outlineLevel="0" collapsed="false">
      <c r="G7" s="24" t="s">
        <v>113</v>
      </c>
      <c r="H7" s="24" t="s">
        <v>159</v>
      </c>
      <c r="I7" s="24" t="s">
        <v>115</v>
      </c>
    </row>
    <row r="8" customFormat="false" ht="15" hidden="false" customHeight="false" outlineLevel="0" collapsed="false">
      <c r="H8" s="24" t="s">
        <v>114</v>
      </c>
      <c r="I8" s="24" t="s">
        <v>160</v>
      </c>
    </row>
    <row r="14" customFormat="false" ht="15" hidden="false" customHeight="false" outlineLevel="0" collapsed="false">
      <c r="A14" s="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2026-10-12T21:48:56Z</dcterms:created>
  <dc:creator>openpyxl</dc:creator>
  <dc:description/>
  <dc:language>en-US</dc:language>
  <cp:lastModifiedBy/>
  <dcterms:modified xsi:type="dcterms:W3CDTF">2026-10-12T21:48:56Z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